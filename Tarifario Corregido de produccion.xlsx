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Bussersa\Plantilla de costos\Pepsi\"/>
    </mc:Choice>
  </mc:AlternateContent>
  <xr:revisionPtr revIDLastSave="0" documentId="13_ncr:1_{A10C2E31-B88C-4241-B68A-A6CC141543D0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atalogos" sheetId="1" r:id="rId1"/>
    <sheet name="Tarifario" sheetId="2" r:id="rId2"/>
    <sheet name="Equipo y maquinaria" sheetId="3" r:id="rId3"/>
    <sheet name="Matriz" sheetId="4" r:id="rId4"/>
    <sheet name="Costos producc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5" l="1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5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F6" i="5" l="1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5" i="5"/>
  <c r="G3" i="3"/>
  <c r="G4" i="3"/>
  <c r="G2" i="3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5" i="5"/>
  <c r="N12" i="2"/>
  <c r="P12" i="2" s="1"/>
  <c r="J12" i="2"/>
  <c r="J11" i="2"/>
  <c r="J10" i="2"/>
  <c r="B10" i="2"/>
  <c r="N9" i="2"/>
  <c r="P9" i="2" s="1"/>
  <c r="J9" i="2"/>
  <c r="N8" i="2"/>
  <c r="P8" i="2" s="1"/>
  <c r="J8" i="2"/>
  <c r="A8" i="2"/>
  <c r="N7" i="2"/>
  <c r="P7" i="2" s="1"/>
  <c r="J7" i="2"/>
  <c r="N6" i="2"/>
  <c r="P6" i="2" s="1"/>
  <c r="J6" i="2"/>
  <c r="J5" i="2" s="1"/>
  <c r="B8" i="2" s="1"/>
  <c r="E13" i="1"/>
  <c r="N11" i="2" s="1"/>
  <c r="P11" i="2" s="1"/>
  <c r="E12" i="1"/>
  <c r="E11" i="1"/>
  <c r="E10" i="1"/>
  <c r="E9" i="1"/>
  <c r="E8" i="1"/>
  <c r="N10" i="2" s="1"/>
  <c r="P10" i="2" s="1"/>
  <c r="E7" i="1"/>
  <c r="E6" i="1"/>
  <c r="E5" i="1"/>
  <c r="E4" i="1"/>
  <c r="E3" i="1"/>
  <c r="E2" i="1"/>
  <c r="H1" i="3" l="1"/>
  <c r="P5" i="2"/>
  <c r="C8" i="2" s="1"/>
  <c r="A10" i="2" s="1"/>
  <c r="C10" i="2" s="1"/>
  <c r="D10" i="2" s="1"/>
  <c r="C8" i="5" l="1"/>
  <c r="G8" i="5" s="1"/>
  <c r="H8" i="5" s="1"/>
  <c r="C16" i="5"/>
  <c r="G16" i="5" s="1"/>
  <c r="C24" i="5"/>
  <c r="G24" i="5" s="1"/>
  <c r="H24" i="5" s="1"/>
  <c r="C32" i="5"/>
  <c r="G32" i="5" s="1"/>
  <c r="C40" i="5"/>
  <c r="G40" i="5" s="1"/>
  <c r="C9" i="5"/>
  <c r="G9" i="5" s="1"/>
  <c r="C17" i="5"/>
  <c r="G17" i="5" s="1"/>
  <c r="C25" i="5"/>
  <c r="G25" i="5" s="1"/>
  <c r="H25" i="5" s="1"/>
  <c r="C33" i="5"/>
  <c r="G33" i="5" s="1"/>
  <c r="H33" i="5" s="1"/>
  <c r="C41" i="5"/>
  <c r="G41" i="5" s="1"/>
  <c r="C10" i="5"/>
  <c r="G10" i="5" s="1"/>
  <c r="C18" i="5"/>
  <c r="G18" i="5" s="1"/>
  <c r="C26" i="5"/>
  <c r="G26" i="5" s="1"/>
  <c r="C34" i="5"/>
  <c r="G34" i="5" s="1"/>
  <c r="C42" i="5"/>
  <c r="G42" i="5" s="1"/>
  <c r="C11" i="5"/>
  <c r="G11" i="5" s="1"/>
  <c r="C19" i="5"/>
  <c r="G19" i="5" s="1"/>
  <c r="H19" i="5" s="1"/>
  <c r="C27" i="5"/>
  <c r="G27" i="5" s="1"/>
  <c r="C35" i="5"/>
  <c r="G35" i="5" s="1"/>
  <c r="H35" i="5" s="1"/>
  <c r="C23" i="5"/>
  <c r="G23" i="5" s="1"/>
  <c r="C12" i="5"/>
  <c r="G12" i="5" s="1"/>
  <c r="H12" i="5" s="1"/>
  <c r="C20" i="5"/>
  <c r="G20" i="5" s="1"/>
  <c r="C28" i="5"/>
  <c r="G28" i="5" s="1"/>
  <c r="H28" i="5" s="1"/>
  <c r="C36" i="5"/>
  <c r="G36" i="5" s="1"/>
  <c r="H36" i="5" s="1"/>
  <c r="C5" i="5"/>
  <c r="G5" i="5" s="1"/>
  <c r="C14" i="5"/>
  <c r="G14" i="5" s="1"/>
  <c r="H14" i="5" s="1"/>
  <c r="C38" i="5"/>
  <c r="G38" i="5" s="1"/>
  <c r="H38" i="5" s="1"/>
  <c r="C15" i="5"/>
  <c r="G15" i="5" s="1"/>
  <c r="C31" i="5"/>
  <c r="G31" i="5" s="1"/>
  <c r="H31" i="5" s="1"/>
  <c r="C13" i="5"/>
  <c r="G13" i="5" s="1"/>
  <c r="C21" i="5"/>
  <c r="G21" i="5" s="1"/>
  <c r="C29" i="5"/>
  <c r="G29" i="5" s="1"/>
  <c r="C37" i="5"/>
  <c r="G37" i="5" s="1"/>
  <c r="H37" i="5" s="1"/>
  <c r="C6" i="5"/>
  <c r="G6" i="5" s="1"/>
  <c r="H6" i="5" s="1"/>
  <c r="C22" i="5"/>
  <c r="G22" i="5" s="1"/>
  <c r="C30" i="5"/>
  <c r="G30" i="5" s="1"/>
  <c r="C7" i="5"/>
  <c r="G7" i="5" s="1"/>
  <c r="H7" i="5" s="1"/>
  <c r="C39" i="5"/>
  <c r="G39" i="5" s="1"/>
  <c r="H39" i="5" s="1"/>
  <c r="H42" i="5"/>
  <c r="E10" i="2"/>
  <c r="F10" i="2" s="1"/>
  <c r="H32" i="5"/>
  <c r="H40" i="5"/>
  <c r="H27" i="5"/>
  <c r="H5" i="5"/>
  <c r="H23" i="5"/>
  <c r="H30" i="5"/>
  <c r="H13" i="5"/>
  <c r="H9" i="5"/>
  <c r="H15" i="5"/>
  <c r="H34" i="5"/>
  <c r="H41" i="5"/>
  <c r="H16" i="5"/>
  <c r="H17" i="5"/>
  <c r="H11" i="5" l="1"/>
  <c r="H22" i="5"/>
  <c r="H26" i="5"/>
  <c r="H10" i="5"/>
  <c r="H20" i="5"/>
  <c r="H18" i="5"/>
  <c r="H21" i="5"/>
  <c r="H29" i="5"/>
</calcChain>
</file>

<file path=xl/sharedStrings.xml><?xml version="1.0" encoding="utf-8"?>
<sst xmlns="http://schemas.openxmlformats.org/spreadsheetml/2006/main" count="342" uniqueCount="130">
  <si>
    <t>Nombre</t>
  </si>
  <si>
    <t>Cantidad</t>
  </si>
  <si>
    <t>ProrRateo en meses</t>
  </si>
  <si>
    <t>Costo  unitario</t>
  </si>
  <si>
    <t>Costo  mensual</t>
  </si>
  <si>
    <t>Botas de seguridad</t>
  </si>
  <si>
    <t>Transporte</t>
  </si>
  <si>
    <t>Casco</t>
  </si>
  <si>
    <t>Alimentación</t>
  </si>
  <si>
    <t>Guantes</t>
  </si>
  <si>
    <t>Telefono</t>
  </si>
  <si>
    <t>Camisas</t>
  </si>
  <si>
    <t>Combustible</t>
  </si>
  <si>
    <t>Gafas</t>
  </si>
  <si>
    <t>Depresiasión</t>
  </si>
  <si>
    <t>Cuchillas</t>
  </si>
  <si>
    <t>Ninguno</t>
  </si>
  <si>
    <t>Cinturon</t>
  </si>
  <si>
    <t>Chalecos de alta visibilidad</t>
  </si>
  <si>
    <t>Arneses de seguridad</t>
  </si>
  <si>
    <t>Protectores faciales</t>
  </si>
  <si>
    <t>Protección respiratoria</t>
  </si>
  <si>
    <t>Protectores térmicos</t>
  </si>
  <si>
    <t>Tarifario de costos de facturación por horas laboradas</t>
  </si>
  <si>
    <t>COSTOS UNITARIOS</t>
  </si>
  <si>
    <t>Viaticos</t>
  </si>
  <si>
    <t>EPP</t>
  </si>
  <si>
    <t>Previsto</t>
  </si>
  <si>
    <t>Salario base</t>
  </si>
  <si>
    <t>Utilidad</t>
  </si>
  <si>
    <t>Totales</t>
  </si>
  <si>
    <t>Precio</t>
  </si>
  <si>
    <t>Factor rep</t>
  </si>
  <si>
    <t>Gastos Oerativos</t>
  </si>
  <si>
    <t>Prestaciones</t>
  </si>
  <si>
    <t>Viáticos</t>
  </si>
  <si>
    <t>Epp</t>
  </si>
  <si>
    <t>Supervicion</t>
  </si>
  <si>
    <t>Cargos</t>
  </si>
  <si>
    <t>Seguros</t>
  </si>
  <si>
    <t>Costo mensual</t>
  </si>
  <si>
    <t>Costos Totales</t>
  </si>
  <si>
    <t>Costo diario</t>
  </si>
  <si>
    <t>Costo hora</t>
  </si>
  <si>
    <t>Costo extra</t>
  </si>
  <si>
    <t/>
  </si>
  <si>
    <t>ID</t>
  </si>
  <si>
    <t>Nombre equipo</t>
  </si>
  <si>
    <t>TIPO</t>
  </si>
  <si>
    <t>Proyeccion de pago</t>
  </si>
  <si>
    <t>mesa de trabajo</t>
  </si>
  <si>
    <t>MAQUINARIAS</t>
  </si>
  <si>
    <t>Selladoras*</t>
  </si>
  <si>
    <t>Computadora con sistema</t>
  </si>
  <si>
    <t>Descripción</t>
  </si>
  <si>
    <t>Termo nuevo</t>
  </si>
  <si>
    <t>Termo reutilizado</t>
  </si>
  <si>
    <t>Cinchos plasticos</t>
  </si>
  <si>
    <t>Horno</t>
  </si>
  <si>
    <t>Stickers cod barra</t>
  </si>
  <si>
    <t>Tamaño</t>
  </si>
  <si>
    <t>Estibado</t>
  </si>
  <si>
    <t>Flejado</t>
  </si>
  <si>
    <t>Charolado/caja</t>
  </si>
  <si>
    <t>Tipo de tarima</t>
  </si>
  <si>
    <t>Adhesivo/tape</t>
  </si>
  <si>
    <t>12 PACK CSD 500 ML PET</t>
  </si>
  <si>
    <t>2x1</t>
  </si>
  <si>
    <t>12 Pack LIPTON TE 500 ML</t>
  </si>
  <si>
    <t>24 Pack Gatorade Surtido 600 ML</t>
  </si>
  <si>
    <t>GRANEL CD</t>
  </si>
  <si>
    <t>Normal</t>
  </si>
  <si>
    <t>Producto</t>
  </si>
  <si>
    <t>Produccion diaria</t>
  </si>
  <si>
    <t>Mano de obra unitaria</t>
  </si>
  <si>
    <t>Materiales</t>
  </si>
  <si>
    <t>Margen de merma</t>
  </si>
  <si>
    <t>Tarifa unitaria</t>
  </si>
  <si>
    <t>24 Pack Soda Ensa Lata</t>
  </si>
  <si>
    <t>2 Pack Pepsi + Rojita 3 Lts</t>
  </si>
  <si>
    <t>4 Pack Pepsi + Rojita + Toronja 3 lts</t>
  </si>
  <si>
    <t>18 PACK 500 ML PET SURTIDO</t>
  </si>
  <si>
    <t>6 Pack Lipton 250ml  Tetra</t>
  </si>
  <si>
    <t>3 Pack Pepsi + Rojita + Ensa Toronja 3 Lts</t>
  </si>
  <si>
    <t>18 Pack 500 ml (pepsi,rojita)</t>
  </si>
  <si>
    <t>12 Pack California Surtido 400 ML</t>
  </si>
  <si>
    <t>2 Pack Pepsi  + Mirinda 3 lts</t>
  </si>
  <si>
    <t>12 Pack Ensa Soda 500ml Pet</t>
  </si>
  <si>
    <t>8 Pack Pepsi Black 355Ml Lata</t>
  </si>
  <si>
    <t>24 PACK PEPSI BLACK + SABORES 355ML LATA</t>
  </si>
  <si>
    <t>2 Pack Pepsi + Ensa Toronja 3 Lts</t>
  </si>
  <si>
    <t>3 Pack Pepsi + Ensa Toronja 3 Lts</t>
  </si>
  <si>
    <t>24 Pack pepsi Black lata</t>
  </si>
  <si>
    <t>16 Pack Adrenaline 12 oz</t>
  </si>
  <si>
    <t>12 PACK AMP 600ML</t>
  </si>
  <si>
    <t>4 Pack Gatorade Surtido 500 ML</t>
  </si>
  <si>
    <t>24 PACK GATORADE SURTIDO 500ML</t>
  </si>
  <si>
    <t>12 Pack pepsi 1.5 ltr</t>
  </si>
  <si>
    <t>12 Pack Adrenalina Rush 16 Onz</t>
  </si>
  <si>
    <t>12 Pack Jugazzo Lata Surtido</t>
  </si>
  <si>
    <t>Sticker promocional</t>
  </si>
  <si>
    <t>Descripción breve</t>
  </si>
  <si>
    <t>Roja / Normal (según el cliente)</t>
  </si>
  <si>
    <t>Se etiqueta el producto unidad a unidad, se realiza surtido de producto en mesa se coloca manga de termo, posterior se pasa por horno,  se coloca sticker, se estiba y fleja.</t>
  </si>
  <si>
    <t>Etiquetado por unidad Pepsi 500ml pet.</t>
  </si>
  <si>
    <t>Se etiqueta producto en mesa y posterior se utiliza en otros reprocesos.</t>
  </si>
  <si>
    <t>Se realiza surtido de producto en mesa, se coloca manga de termo, se pasa por horno, se etiqueta al paquete formado, posterior se estiba y fleja.</t>
  </si>
  <si>
    <t>Se arman packs con producto a granel surtido, se procede a colocar el producto en la manga de termoencogible y pasar por el horno de termo, se procede a estibar y embalar.</t>
  </si>
  <si>
    <t>Armado de Polines Walmart</t>
  </si>
  <si>
    <t>Roja</t>
  </si>
  <si>
    <t>Conformado completo de polines.</t>
  </si>
  <si>
    <t>Se coloca esticker al paquete, se reentarima y fleja</t>
  </si>
  <si>
    <t>Etiquetado Pepsi 12 Onz Pet</t>
  </si>
  <si>
    <t>Se coloca producto en mesa, se etiqueta unidad por unidad, se coloca cincho plastico, se coloca estiker al paquete, posterior se estiba y fleja</t>
  </si>
  <si>
    <t>Impresion de Etiquetas</t>
  </si>
  <si>
    <t>Se  realiza la impreson de stiker según necesidadde produccion</t>
  </si>
  <si>
    <t>Se realiza surtido de producto en mesa, se coloca manga de termo, se pasa por horno, se etiqueta paquete y posterior se estiba y fleja.</t>
  </si>
  <si>
    <t>Etiquetado Soda 500 ml</t>
  </si>
  <si>
    <t>Se etiqueta unidad por unidad, se coloca cinchos, se estiba y se fleja</t>
  </si>
  <si>
    <t>Se realizar el surtido, se coloca esticker al paquete, se reentarima y fleja</t>
  </si>
  <si>
    <t>Se coloca sticker a cada pack y posterior se estiba y embala.</t>
  </si>
  <si>
    <t>Se realiza reentarimado de producto y se fleja</t>
  </si>
  <si>
    <t>Etiquetado AMP 600ml</t>
  </si>
  <si>
    <t>Etiquetado pepsi 1.5 ltr</t>
  </si>
  <si>
    <t>Etiquetado pepsi black 355ml lata.</t>
  </si>
  <si>
    <t>Tarifario de costos de facturación por producción</t>
  </si>
  <si>
    <t>Amortización por Unidad</t>
  </si>
  <si>
    <t>Proyeccion mensual</t>
  </si>
  <si>
    <t>Costo etiqueta</t>
  </si>
  <si>
    <t>Tarifa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</si>
</sst>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[$€]#,##0"/>
    <numFmt numFmtId="165" formatCode="#,##0\ [$€-1]"/>
  </numFmts>
  <fonts count="2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2"/>
      <color theme="1"/>
      <name val="Calibri"/>
    </font>
    <font>
      <b/>
      <sz val="30"/>
      <color rgb="FF0B5394"/>
      <name val="Roboto"/>
    </font>
    <font>
      <sz val="10"/>
      <name val="Arial"/>
    </font>
    <font>
      <b/>
      <sz val="12"/>
      <color rgb="FF0B5394"/>
      <name val="Roboto"/>
    </font>
    <font>
      <b/>
      <sz val="10"/>
      <color rgb="FF666666"/>
      <name val="Roboto"/>
    </font>
    <font>
      <b/>
      <sz val="17"/>
      <color rgb="FFF46524"/>
      <name val="Raleway"/>
    </font>
    <font>
      <b/>
      <sz val="11"/>
      <color rgb="FF334960"/>
      <name val="Lato"/>
    </font>
    <font>
      <b/>
      <sz val="9"/>
      <color rgb="FFFFFFFF"/>
      <name val="Roboto"/>
    </font>
    <font>
      <b/>
      <i/>
      <sz val="10"/>
      <color rgb="FF687887"/>
      <name val="Roboto"/>
    </font>
    <font>
      <b/>
      <sz val="9"/>
      <color rgb="FF434343"/>
      <name val="Roboto"/>
    </font>
    <font>
      <sz val="9"/>
      <color rgb="FF434343"/>
      <name val="Roboto"/>
    </font>
    <font>
      <sz val="9"/>
      <color theme="1"/>
      <name val="Roboto"/>
    </font>
    <font>
      <b/>
      <sz val="9"/>
      <color theme="1"/>
      <name val="Roboto"/>
    </font>
    <font>
      <b/>
      <sz val="9"/>
      <color theme="1"/>
      <name val="Calibri"/>
    </font>
    <font>
      <sz val="10"/>
      <color rgb="FF434343"/>
      <name val="Roboto"/>
    </font>
    <font>
      <sz val="10"/>
      <color rgb="FF434343"/>
      <name val="Lato"/>
    </font>
    <font>
      <sz val="10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CECE6"/>
        <bgColor rgb="FFFCECE6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A7B0BF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/>
      <right/>
      <top/>
      <bottom style="thin">
        <color rgb="FFA7B0BF"/>
      </bottom>
      <diagonal/>
    </border>
    <border>
      <left style="thin">
        <color rgb="FF999999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99999"/>
      </left>
      <right/>
      <top/>
      <bottom style="thin">
        <color rgb="FFFFFFFF"/>
      </bottom>
      <diagonal/>
    </border>
    <border>
      <left style="thin">
        <color rgb="FF999999"/>
      </left>
      <right/>
      <top/>
      <bottom style="hair">
        <color rgb="FF999999"/>
      </bottom>
      <diagonal/>
    </border>
    <border>
      <left/>
      <right/>
      <top/>
      <bottom style="hair">
        <color rgb="FF999999"/>
      </bottom>
      <diagonal/>
    </border>
    <border>
      <left/>
      <right style="thin">
        <color rgb="FFD9D9D9"/>
      </right>
      <top/>
      <bottom style="hair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theme="4"/>
      </top>
      <bottom/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7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4" fontId="1" fillId="0" borderId="6" xfId="0" applyNumberFormat="1" applyFont="1" applyBorder="1" applyAlignment="1">
      <alignment vertical="center"/>
    </xf>
    <xf numFmtId="0" fontId="1" fillId="0" borderId="0" xfId="0" applyFont="1"/>
    <xf numFmtId="49" fontId="1" fillId="0" borderId="7" xfId="0" applyNumberFormat="1" applyFont="1" applyBorder="1" applyAlignment="1">
      <alignment vertical="center"/>
    </xf>
    <xf numFmtId="4" fontId="1" fillId="0" borderId="8" xfId="0" applyNumberFormat="1" applyFont="1" applyBorder="1" applyAlignment="1">
      <alignment vertical="center"/>
    </xf>
    <xf numFmtId="4" fontId="1" fillId="0" borderId="9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/>
    <xf numFmtId="49" fontId="1" fillId="0" borderId="10" xfId="0" applyNumberFormat="1" applyFont="1" applyBorder="1" applyAlignment="1">
      <alignment vertical="center"/>
    </xf>
    <xf numFmtId="4" fontId="1" fillId="0" borderId="11" xfId="0" applyNumberFormat="1" applyFont="1" applyBorder="1" applyAlignment="1">
      <alignment vertical="center"/>
    </xf>
    <xf numFmtId="4" fontId="1" fillId="0" borderId="12" xfId="0" applyNumberFormat="1" applyFont="1" applyBorder="1" applyAlignment="1">
      <alignment vertical="center"/>
    </xf>
    <xf numFmtId="0" fontId="3" fillId="2" borderId="0" xfId="0" applyFont="1" applyFill="1"/>
    <xf numFmtId="0" fontId="3" fillId="0" borderId="0" xfId="0" applyFont="1"/>
    <xf numFmtId="0" fontId="10" fillId="3" borderId="16" xfId="0" applyFont="1" applyFill="1" applyBorder="1" applyAlignment="1">
      <alignment horizontal="left"/>
    </xf>
    <xf numFmtId="0" fontId="10" fillId="3" borderId="0" xfId="0" applyFont="1" applyFill="1" applyAlignment="1">
      <alignment horizontal="left"/>
    </xf>
    <xf numFmtId="0" fontId="10" fillId="3" borderId="17" xfId="0" applyFont="1" applyFill="1" applyBorder="1" applyAlignment="1">
      <alignment horizontal="left"/>
    </xf>
    <xf numFmtId="4" fontId="11" fillId="0" borderId="18" xfId="0" applyNumberFormat="1" applyFont="1" applyBorder="1" applyAlignment="1">
      <alignment horizontal="right" vertical="top"/>
    </xf>
    <xf numFmtId="4" fontId="13" fillId="5" borderId="5" xfId="0" applyNumberFormat="1" applyFont="1" applyFill="1" applyBorder="1" applyAlignment="1">
      <alignment horizontal="right"/>
    </xf>
    <xf numFmtId="0" fontId="10" fillId="6" borderId="23" xfId="0" applyFont="1" applyFill="1" applyBorder="1" applyAlignment="1">
      <alignment horizontal="center"/>
    </xf>
    <xf numFmtId="2" fontId="14" fillId="2" borderId="24" xfId="0" applyNumberFormat="1" applyFont="1" applyFill="1" applyBorder="1"/>
    <xf numFmtId="0" fontId="15" fillId="7" borderId="24" xfId="0" applyFont="1" applyFill="1" applyBorder="1" applyAlignment="1">
      <alignment horizontal="center"/>
    </xf>
    <xf numFmtId="0" fontId="16" fillId="7" borderId="25" xfId="0" applyFont="1" applyFill="1" applyBorder="1" applyAlignment="1">
      <alignment horizontal="center"/>
    </xf>
    <xf numFmtId="0" fontId="16" fillId="7" borderId="26" xfId="0" applyFont="1" applyFill="1" applyBorder="1" applyAlignment="1">
      <alignment horizontal="center"/>
    </xf>
    <xf numFmtId="2" fontId="15" fillId="2" borderId="24" xfId="0" applyNumberFormat="1" applyFont="1" applyFill="1" applyBorder="1"/>
    <xf numFmtId="0" fontId="17" fillId="2" borderId="0" xfId="0" applyFont="1" applyFill="1" applyAlignment="1">
      <alignment wrapText="1"/>
    </xf>
    <xf numFmtId="0" fontId="17" fillId="2" borderId="25" xfId="0" applyFont="1" applyFill="1" applyBorder="1" applyAlignment="1">
      <alignment wrapText="1"/>
    </xf>
    <xf numFmtId="165" fontId="18" fillId="0" borderId="0" xfId="0" applyNumberFormat="1" applyFont="1" applyAlignment="1">
      <alignment horizontal="right"/>
    </xf>
    <xf numFmtId="4" fontId="1" fillId="2" borderId="5" xfId="0" applyNumberFormat="1" applyFont="1" applyFill="1" applyBorder="1" applyAlignment="1">
      <alignment vertical="center"/>
    </xf>
    <xf numFmtId="4" fontId="1" fillId="2" borderId="6" xfId="0" applyNumberFormat="1" applyFont="1" applyFill="1" applyBorder="1" applyAlignment="1">
      <alignment vertical="center"/>
    </xf>
    <xf numFmtId="4" fontId="1" fillId="8" borderId="8" xfId="0" applyNumberFormat="1" applyFont="1" applyFill="1" applyBorder="1" applyAlignment="1">
      <alignment vertical="center"/>
    </xf>
    <xf numFmtId="4" fontId="1" fillId="8" borderId="9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horizontal="right" vertical="center"/>
    </xf>
    <xf numFmtId="49" fontId="1" fillId="8" borderId="7" xfId="0" applyNumberFormat="1" applyFont="1" applyFill="1" applyBorder="1" applyAlignment="1">
      <alignment horizontal="right" vertical="center"/>
    </xf>
    <xf numFmtId="49" fontId="1" fillId="2" borderId="4" xfId="0" applyNumberFormat="1" applyFont="1" applyFill="1" applyBorder="1" applyAlignment="1">
      <alignment horizontal="right" vertical="center"/>
    </xf>
    <xf numFmtId="0" fontId="0" fillId="0" borderId="27" xfId="0" applyBorder="1"/>
    <xf numFmtId="0" fontId="0" fillId="0" borderId="27" xfId="0" applyBorder="1" applyAlignment="1">
      <alignment horizontal="right" vertical="center"/>
    </xf>
    <xf numFmtId="3" fontId="0" fillId="0" borderId="27" xfId="0" applyNumberForma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0" fillId="6" borderId="16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/>
    </xf>
    <xf numFmtId="2" fontId="14" fillId="2" borderId="27" xfId="0" applyNumberFormat="1" applyFont="1" applyFill="1" applyBorder="1"/>
    <xf numFmtId="0" fontId="4" fillId="2" borderId="0" xfId="0" applyFont="1" applyFill="1" applyAlignment="1">
      <alignment wrapText="1"/>
    </xf>
    <xf numFmtId="0" fontId="5" fillId="0" borderId="0" xfId="0" applyFont="1"/>
    <xf numFmtId="0" fontId="6" fillId="2" borderId="0" xfId="0" applyFont="1" applyFill="1" applyAlignment="1">
      <alignment wrapText="1"/>
    </xf>
    <xf numFmtId="0" fontId="10" fillId="6" borderId="2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wrapText="1"/>
    </xf>
    <xf numFmtId="0" fontId="5" fillId="0" borderId="13" xfId="0" applyFont="1" applyBorder="1"/>
    <xf numFmtId="0" fontId="7" fillId="0" borderId="0" xfId="0" applyFont="1" applyAlignment="1">
      <alignment horizontal="center" vertical="center"/>
    </xf>
    <xf numFmtId="0" fontId="0" fillId="0" borderId="0" xfId="0"/>
    <xf numFmtId="0" fontId="5" fillId="0" borderId="14" xfId="0" applyFont="1" applyBorder="1"/>
    <xf numFmtId="0" fontId="10" fillId="4" borderId="19" xfId="0" applyFont="1" applyFill="1" applyBorder="1" applyAlignment="1">
      <alignment horizontal="center"/>
    </xf>
    <xf numFmtId="0" fontId="5" fillId="0" borderId="20" xfId="0" applyFont="1" applyBorder="1"/>
    <xf numFmtId="164" fontId="9" fillId="0" borderId="15" xfId="0" applyNumberFormat="1" applyFont="1" applyBorder="1" applyAlignment="1">
      <alignment horizontal="right"/>
    </xf>
    <xf numFmtId="0" fontId="5" fillId="0" borderId="15" xfId="0" applyFont="1" applyBorder="1"/>
    <xf numFmtId="164" fontId="12" fillId="5" borderId="21" xfId="0" applyNumberFormat="1" applyFont="1" applyFill="1" applyBorder="1"/>
    <xf numFmtId="0" fontId="5" fillId="0" borderId="22" xfId="0" applyFont="1" applyBorder="1"/>
    <xf numFmtId="0" fontId="6" fillId="2" borderId="13" xfId="0" applyFont="1" applyFill="1" applyBorder="1" applyAlignment="1">
      <alignment wrapText="1"/>
    </xf>
    <xf numFmtId="164" fontId="11" fillId="0" borderId="18" xfId="0" applyNumberFormat="1" applyFont="1" applyBorder="1" applyAlignment="1">
      <alignment vertical="top"/>
    </xf>
    <xf numFmtId="0" fontId="5" fillId="0" borderId="18" xfId="0" applyFont="1" applyBorder="1"/>
    <xf numFmtId="164" fontId="8" fillId="0" borderId="0" xfId="0" applyNumberFormat="1" applyFont="1" applyAlignment="1">
      <alignment vertical="top"/>
    </xf>
    <xf numFmtId="164" fontId="11" fillId="0" borderId="0" xfId="0" applyNumberFormat="1" applyFont="1" applyAlignment="1">
      <alignment vertical="top"/>
    </xf>
    <xf numFmtId="43" fontId="0" fillId="0" borderId="0" xfId="1" applyFont="1" applyAlignment="1">
      <alignment horizontal="center" vertical="center"/>
    </xf>
    <xf numFmtId="43" fontId="0" fillId="0" borderId="0" xfId="1" applyFont="1" applyAlignment="1">
      <alignment horizontal="center"/>
    </xf>
    <xf numFmtId="3" fontId="0" fillId="9" borderId="27" xfId="0" applyNumberFormat="1" applyFill="1" applyBorder="1" applyAlignment="1">
      <alignment horizontal="right" vertical="center"/>
    </xf>
    <xf numFmtId="0" fontId="0" fillId="9" borderId="27" xfId="0" applyFill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Roboto"/>
        <scheme val="none"/>
      </font>
      <fill>
        <patternFill patternType="solid">
          <fgColor rgb="FF0B5394"/>
          <bgColor rgb="FF0B539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2">
    <tableStyle name="Catalogos-style" pivot="0" count="3" xr9:uid="{00000000-0011-0000-FFFF-FFFF00000000}">
      <tableStyleElement type="headerRow" dxfId="22"/>
      <tableStyleElement type="firstRowStripe" dxfId="21"/>
      <tableStyleElement type="secondRowStripe" dxfId="20"/>
    </tableStyle>
    <tableStyle name="Catalogos-style 2" pivot="0" count="3" xr9:uid="{00000000-0011-0000-FFFF-FFFF01000000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13">
  <tableColumns count="5">
    <tableColumn id="1" xr3:uid="{00000000-0010-0000-0000-000001000000}" name="Nombre"/>
    <tableColumn id="2" xr3:uid="{00000000-0010-0000-0000-000002000000}" name="Cantidad"/>
    <tableColumn id="3" xr3:uid="{00000000-0010-0000-0000-000003000000}" name="ProrRateo en meses"/>
    <tableColumn id="4" xr3:uid="{00000000-0010-0000-0000-000004000000}" name="Costo  unitario"/>
    <tableColumn id="5" xr3:uid="{00000000-0010-0000-0000-000005000000}" name="Costo  mensual"/>
  </tableColumns>
  <tableStyleInfo name="Catalog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H1:I13">
  <tableColumns count="2">
    <tableColumn id="1" xr3:uid="{00000000-0010-0000-0100-000001000000}" name="Nombre"/>
    <tableColumn id="2" xr3:uid="{00000000-0010-0000-0100-000002000000}" name="Cantidad"/>
  </tableColumns>
  <tableStyleInfo name="Catalogo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6A58CA-8726-4333-9031-0BCA33C42663}" name="Tabla1" displayName="Tabla1" ref="A2:O52" totalsRowShown="0" headerRowDxfId="16" dataDxfId="15">
  <tableColumns count="15">
    <tableColumn id="1" xr3:uid="{7A747D9F-0B38-4E16-8EA8-CCFF8E1FCA32}" name="Descripción" dataDxfId="14"/>
    <tableColumn id="2" xr3:uid="{0CDDFBDF-90F1-483B-A26E-25EA852A45BC}" name="Termo nuevo" dataDxfId="13"/>
    <tableColumn id="3" xr3:uid="{E4CD5AED-29F6-4604-9645-28696DDB1B94}" name="Termo reutilizado" dataDxfId="12"/>
    <tableColumn id="4" xr3:uid="{952EB930-8969-43A7-A279-C1FBF5EA7F21}" name="Cinchos plasticos" dataDxfId="11"/>
    <tableColumn id="5" xr3:uid="{5FA1EE76-6201-4DB7-BFDF-0A5720FCB2FF}" name="Horno" dataDxfId="10"/>
    <tableColumn id="6" xr3:uid="{14528E61-2EEE-401C-AE60-890215C66C36}" name="Stickers cod barra" dataDxfId="9"/>
    <tableColumn id="15" xr3:uid="{3BD8009E-8201-4ECC-9133-EB158CB73E41}" name="Costo etiqueta" dataDxfId="0" dataCellStyle="Millares">
      <calculatedColumnFormula>(F3*G$1)/F$1</calculatedColumnFormula>
    </tableColumn>
    <tableColumn id="7" xr3:uid="{21E4F213-5837-43BB-953E-FC8394FD5184}" name="Sticker promocional" dataDxfId="8"/>
    <tableColumn id="8" xr3:uid="{123C1206-DB0F-4C6B-B297-8A0C4A9B35A9}" name="Tamaño" dataDxfId="7"/>
    <tableColumn id="9" xr3:uid="{D531ED07-B971-4910-ADDC-607AA136A3AA}" name="Estibado" dataDxfId="6"/>
    <tableColumn id="10" xr3:uid="{4560DD82-7B00-4411-84CF-4CBF0DFE335B}" name="Flejado" dataDxfId="5"/>
    <tableColumn id="11" xr3:uid="{C512D04C-1BD1-4670-B3C4-E9F10AD310A7}" name="Charolado/caja" dataDxfId="4"/>
    <tableColumn id="12" xr3:uid="{2698AD0A-A5C5-4A86-BBFA-24CB8C25782B}" name="Tipo de tarima" dataDxfId="3"/>
    <tableColumn id="13" xr3:uid="{32E25040-E554-44A1-AC47-4F6B250EB79F}" name="Adhesivo/tape" dataDxfId="2"/>
    <tableColumn id="14" xr3:uid="{AC7BCB41-1269-4566-9997-46CE8E355A39}" name="Descripción brev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sqref="A1:E13"/>
    </sheetView>
  </sheetViews>
  <sheetFormatPr baseColWidth="10" defaultColWidth="12.6640625" defaultRowHeight="15" customHeight="1" x14ac:dyDescent="0.25"/>
  <cols>
    <col min="1" max="1" width="24.33203125" customWidth="1"/>
    <col min="2" max="2" width="12.77734375" customWidth="1"/>
    <col min="3" max="3" width="17.33203125" customWidth="1"/>
    <col min="4" max="4" width="16.88671875" customWidth="1"/>
    <col min="5" max="5" width="15.21875" customWidth="1"/>
    <col min="6" max="9" width="12.6640625" customWidth="1"/>
    <col min="10" max="26" width="14.33203125" customWidth="1"/>
  </cols>
  <sheetData>
    <row r="1" spans="1:9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H1" s="1" t="s">
        <v>0</v>
      </c>
      <c r="I1" s="3" t="s">
        <v>1</v>
      </c>
    </row>
    <row r="2" spans="1:9" ht="15.75" customHeight="1" x14ac:dyDescent="0.25">
      <c r="A2" s="4" t="s">
        <v>5</v>
      </c>
      <c r="B2" s="5">
        <v>1</v>
      </c>
      <c r="C2" s="5">
        <v>12</v>
      </c>
      <c r="D2" s="5">
        <v>2500</v>
      </c>
      <c r="E2" s="6">
        <f t="shared" ref="E2:E13" si="0">D2/C2</f>
        <v>208.33333333333334</v>
      </c>
      <c r="G2" s="7"/>
      <c r="H2" s="4" t="s">
        <v>6</v>
      </c>
      <c r="I2" s="6">
        <v>800</v>
      </c>
    </row>
    <row r="3" spans="1:9" ht="15.75" customHeight="1" x14ac:dyDescent="0.25">
      <c r="A3" s="8" t="s">
        <v>7</v>
      </c>
      <c r="B3" s="9">
        <v>1</v>
      </c>
      <c r="C3" s="9">
        <v>6</v>
      </c>
      <c r="D3" s="9">
        <v>500</v>
      </c>
      <c r="E3" s="10">
        <f t="shared" si="0"/>
        <v>83.333333333333329</v>
      </c>
      <c r="H3" s="8" t="s">
        <v>8</v>
      </c>
      <c r="I3" s="10">
        <v>1000</v>
      </c>
    </row>
    <row r="4" spans="1:9" ht="15.75" customHeight="1" x14ac:dyDescent="0.25">
      <c r="A4" s="11" t="s">
        <v>9</v>
      </c>
      <c r="B4" s="5">
        <v>2</v>
      </c>
      <c r="C4" s="5">
        <v>4</v>
      </c>
      <c r="D4" s="5">
        <v>650</v>
      </c>
      <c r="E4" s="6">
        <f t="shared" si="0"/>
        <v>162.5</v>
      </c>
      <c r="H4" s="11" t="s">
        <v>10</v>
      </c>
      <c r="I4" s="6">
        <v>250</v>
      </c>
    </row>
    <row r="5" spans="1:9" ht="15.75" customHeight="1" x14ac:dyDescent="0.25">
      <c r="A5" s="8" t="s">
        <v>11</v>
      </c>
      <c r="B5" s="9">
        <v>3</v>
      </c>
      <c r="C5" s="9">
        <v>4</v>
      </c>
      <c r="D5" s="9">
        <v>450</v>
      </c>
      <c r="E5" s="10">
        <f t="shared" si="0"/>
        <v>112.5</v>
      </c>
      <c r="H5" s="8" t="s">
        <v>12</v>
      </c>
      <c r="I5" s="10">
        <v>0</v>
      </c>
    </row>
    <row r="6" spans="1:9" ht="15.75" customHeight="1" x14ac:dyDescent="0.25">
      <c r="A6" s="11" t="s">
        <v>13</v>
      </c>
      <c r="B6" s="5">
        <v>2</v>
      </c>
      <c r="C6" s="5">
        <v>4</v>
      </c>
      <c r="D6" s="5">
        <v>900</v>
      </c>
      <c r="E6" s="6">
        <f t="shared" si="0"/>
        <v>225</v>
      </c>
      <c r="H6" s="11" t="s">
        <v>14</v>
      </c>
      <c r="I6" s="6">
        <v>0</v>
      </c>
    </row>
    <row r="7" spans="1:9" ht="15.75" customHeight="1" x14ac:dyDescent="0.25">
      <c r="A7" s="8" t="s">
        <v>15</v>
      </c>
      <c r="B7" s="9">
        <v>1</v>
      </c>
      <c r="C7" s="9">
        <v>3</v>
      </c>
      <c r="D7" s="9">
        <v>200</v>
      </c>
      <c r="E7" s="10">
        <f t="shared" si="0"/>
        <v>66.666666666666671</v>
      </c>
      <c r="H7" s="8" t="s">
        <v>16</v>
      </c>
      <c r="I7" s="12">
        <v>0</v>
      </c>
    </row>
    <row r="8" spans="1:9" ht="15.75" customHeight="1" x14ac:dyDescent="0.25">
      <c r="A8" s="11" t="s">
        <v>17</v>
      </c>
      <c r="B8" s="5">
        <v>1</v>
      </c>
      <c r="C8" s="5">
        <v>8</v>
      </c>
      <c r="D8" s="5">
        <v>750</v>
      </c>
      <c r="E8" s="6">
        <f t="shared" si="0"/>
        <v>93.75</v>
      </c>
      <c r="H8" s="11"/>
      <c r="I8" s="13"/>
    </row>
    <row r="9" spans="1:9" ht="15.75" customHeight="1" x14ac:dyDescent="0.25">
      <c r="A9" s="8" t="s">
        <v>18</v>
      </c>
      <c r="B9" s="9">
        <v>1</v>
      </c>
      <c r="C9" s="9">
        <v>4</v>
      </c>
      <c r="D9" s="9">
        <v>250</v>
      </c>
      <c r="E9" s="10">
        <f t="shared" si="0"/>
        <v>62.5</v>
      </c>
      <c r="H9" s="8"/>
      <c r="I9" s="13"/>
    </row>
    <row r="10" spans="1:9" ht="15.75" customHeight="1" x14ac:dyDescent="0.25">
      <c r="A10" s="11" t="s">
        <v>19</v>
      </c>
      <c r="B10" s="5">
        <v>1</v>
      </c>
      <c r="C10" s="5">
        <v>6</v>
      </c>
      <c r="D10" s="5">
        <v>600</v>
      </c>
      <c r="E10" s="6">
        <f t="shared" si="0"/>
        <v>100</v>
      </c>
      <c r="H10" s="11"/>
      <c r="I10" s="13"/>
    </row>
    <row r="11" spans="1:9" ht="15.75" customHeight="1" x14ac:dyDescent="0.25">
      <c r="A11" s="8" t="s">
        <v>20</v>
      </c>
      <c r="B11" s="9">
        <v>1</v>
      </c>
      <c r="C11" s="9">
        <v>6</v>
      </c>
      <c r="D11" s="9">
        <v>800</v>
      </c>
      <c r="E11" s="10">
        <f t="shared" si="0"/>
        <v>133.33333333333334</v>
      </c>
      <c r="H11" s="8"/>
      <c r="I11" s="13"/>
    </row>
    <row r="12" spans="1:9" ht="15.75" customHeight="1" x14ac:dyDescent="0.25">
      <c r="A12" s="11" t="s">
        <v>21</v>
      </c>
      <c r="B12" s="5">
        <v>1</v>
      </c>
      <c r="C12" s="5">
        <v>6</v>
      </c>
      <c r="D12" s="5">
        <v>1500</v>
      </c>
      <c r="E12" s="6">
        <f t="shared" si="0"/>
        <v>250</v>
      </c>
      <c r="H12" s="11"/>
      <c r="I12" s="13"/>
    </row>
    <row r="13" spans="1:9" ht="15.75" customHeight="1" x14ac:dyDescent="0.25">
      <c r="A13" s="14" t="s">
        <v>22</v>
      </c>
      <c r="B13" s="15">
        <v>1</v>
      </c>
      <c r="C13" s="15">
        <v>12</v>
      </c>
      <c r="D13" s="15">
        <v>6000</v>
      </c>
      <c r="E13" s="16">
        <f t="shared" si="0"/>
        <v>500</v>
      </c>
      <c r="H13" s="14"/>
      <c r="I13" s="13"/>
    </row>
    <row r="14" spans="1:9" ht="15.75" customHeight="1" x14ac:dyDescent="0.25"/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custom" allowBlank="1" showDropDown="1" sqref="C2:E13" xr:uid="{00000000-0002-0000-00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99"/>
  <sheetViews>
    <sheetView workbookViewId="0">
      <selection activeCell="D10" sqref="D10"/>
    </sheetView>
  </sheetViews>
  <sheetFormatPr baseColWidth="10" defaultColWidth="12.6640625" defaultRowHeight="15" customHeight="1" x14ac:dyDescent="0.25"/>
  <cols>
    <col min="1" max="6" width="12.6640625" customWidth="1"/>
    <col min="7" max="7" width="6.77734375" customWidth="1"/>
    <col min="8" max="8" width="12.6640625" customWidth="1"/>
    <col min="9" max="9" width="4.77734375" customWidth="1"/>
    <col min="10" max="10" width="12.6640625" customWidth="1"/>
    <col min="11" max="11" width="6.109375" customWidth="1"/>
    <col min="12" max="12" width="12.6640625" customWidth="1"/>
    <col min="13" max="13" width="9.77734375" customWidth="1"/>
    <col min="14" max="14" width="8.88671875" customWidth="1"/>
    <col min="15" max="15" width="12.6640625" customWidth="1"/>
    <col min="16" max="28" width="14.33203125" customWidth="1"/>
  </cols>
  <sheetData>
    <row r="1" spans="1:16" ht="15.75" customHeight="1" x14ac:dyDescent="0.3">
      <c r="A1" s="17"/>
      <c r="B1" s="17"/>
      <c r="C1" s="17"/>
      <c r="D1" s="17"/>
      <c r="E1" s="17"/>
      <c r="F1" s="17"/>
      <c r="G1" s="18"/>
      <c r="H1" s="18"/>
      <c r="I1" s="17"/>
      <c r="J1" s="17"/>
      <c r="K1" s="17"/>
      <c r="L1" s="17"/>
      <c r="M1" s="18"/>
      <c r="N1" s="17"/>
      <c r="O1" s="17"/>
    </row>
    <row r="2" spans="1:16" ht="40.5" customHeight="1" x14ac:dyDescent="0.7">
      <c r="A2" s="54" t="s">
        <v>23</v>
      </c>
      <c r="B2" s="55"/>
      <c r="C2" s="55"/>
      <c r="D2" s="55"/>
      <c r="E2" s="55"/>
      <c r="F2" s="55"/>
      <c r="G2" s="55"/>
      <c r="H2" s="55"/>
      <c r="I2" s="55"/>
      <c r="J2" s="65"/>
      <c r="K2" s="55"/>
      <c r="L2" s="55"/>
      <c r="M2" s="55"/>
      <c r="N2" s="55"/>
      <c r="O2" s="55"/>
      <c r="P2" s="55"/>
    </row>
    <row r="3" spans="1:16" ht="29.25" customHeight="1" x14ac:dyDescent="0.3">
      <c r="A3" s="56" t="s">
        <v>24</v>
      </c>
      <c r="B3" s="57"/>
      <c r="C3" s="57"/>
      <c r="D3" s="57"/>
      <c r="E3" s="57"/>
      <c r="F3" s="57"/>
      <c r="G3" s="18"/>
      <c r="H3" s="68" t="s">
        <v>25</v>
      </c>
      <c r="I3" s="57"/>
      <c r="J3" s="57"/>
      <c r="K3" s="17"/>
      <c r="L3" s="68" t="s">
        <v>26</v>
      </c>
      <c r="M3" s="57"/>
      <c r="N3" s="57"/>
      <c r="O3" s="57"/>
      <c r="P3" s="57"/>
    </row>
    <row r="4" spans="1:16" ht="15.75" customHeight="1" x14ac:dyDescent="0.4">
      <c r="A4" s="58"/>
      <c r="B4" s="58"/>
      <c r="C4" s="58"/>
      <c r="D4" s="58"/>
      <c r="E4" s="58"/>
      <c r="F4" s="58"/>
      <c r="G4" s="18"/>
      <c r="H4" s="61" t="s">
        <v>27</v>
      </c>
      <c r="I4" s="62"/>
      <c r="J4" s="62"/>
      <c r="L4" s="61" t="s">
        <v>27</v>
      </c>
      <c r="M4" s="62"/>
      <c r="N4" s="62"/>
      <c r="O4" s="62"/>
      <c r="P4" s="62"/>
    </row>
    <row r="5" spans="1:16" ht="15.75" customHeight="1" x14ac:dyDescent="0.3">
      <c r="A5" s="19" t="s">
        <v>28</v>
      </c>
      <c r="B5" s="20">
        <v>9000</v>
      </c>
      <c r="C5" s="20"/>
      <c r="D5" s="20"/>
      <c r="E5" s="20" t="s">
        <v>29</v>
      </c>
      <c r="F5" s="21">
        <v>20</v>
      </c>
      <c r="G5" s="18"/>
      <c r="H5" s="69" t="s">
        <v>30</v>
      </c>
      <c r="I5" s="57"/>
      <c r="J5" s="22">
        <f>SUM(J6:J12)</f>
        <v>1800</v>
      </c>
      <c r="L5" s="66" t="s">
        <v>30</v>
      </c>
      <c r="M5" s="67"/>
      <c r="N5" s="22" t="s">
        <v>31</v>
      </c>
      <c r="O5" s="22" t="s">
        <v>32</v>
      </c>
      <c r="P5" s="22">
        <f>SUM(P6:P12)</f>
        <v>1472.1875</v>
      </c>
    </row>
    <row r="6" spans="1:16" ht="15.75" customHeight="1" x14ac:dyDescent="0.3">
      <c r="A6" s="59" t="s">
        <v>33</v>
      </c>
      <c r="B6" s="60"/>
      <c r="C6" s="60"/>
      <c r="D6" s="60"/>
      <c r="E6" s="60"/>
      <c r="F6" s="60"/>
      <c r="G6" s="18"/>
      <c r="H6" s="63" t="s">
        <v>6</v>
      </c>
      <c r="I6" s="64"/>
      <c r="J6" s="23">
        <f>VLOOKUP(H6,Catalogos!$H$2:$I$13,2,FALSE)</f>
        <v>800</v>
      </c>
      <c r="L6" s="63" t="s">
        <v>9</v>
      </c>
      <c r="M6" s="64"/>
      <c r="N6" s="23">
        <f>VLOOKUP(L6,Catalogos!$A$2:$E$13,5,FALSE)</f>
        <v>162.5</v>
      </c>
      <c r="O6" s="23">
        <v>0.05</v>
      </c>
      <c r="P6" s="23">
        <f t="shared" ref="P6:P12" si="0">(N6*O6)+N6</f>
        <v>170.625</v>
      </c>
    </row>
    <row r="7" spans="1:16" ht="15.75" customHeight="1" x14ac:dyDescent="0.3">
      <c r="A7" s="24" t="s">
        <v>34</v>
      </c>
      <c r="B7" s="24" t="s">
        <v>35</v>
      </c>
      <c r="C7" s="24" t="s">
        <v>36</v>
      </c>
      <c r="D7" s="24" t="s">
        <v>37</v>
      </c>
      <c r="E7" s="24" t="s">
        <v>38</v>
      </c>
      <c r="F7" s="24" t="s">
        <v>39</v>
      </c>
      <c r="G7" s="18"/>
      <c r="H7" s="63" t="s">
        <v>8</v>
      </c>
      <c r="I7" s="64"/>
      <c r="J7" s="23">
        <f>VLOOKUP(H7,Catalogos!$H$2:$I$13,2,FALSE)</f>
        <v>1000</v>
      </c>
      <c r="L7" s="63" t="s">
        <v>11</v>
      </c>
      <c r="M7" s="64"/>
      <c r="N7" s="23">
        <f>VLOOKUP(L7,Catalogos!$A$2:$E$13,5,FALSE)</f>
        <v>112.5</v>
      </c>
      <c r="O7" s="23">
        <v>0.05</v>
      </c>
      <c r="P7" s="23">
        <f t="shared" si="0"/>
        <v>118.125</v>
      </c>
    </row>
    <row r="8" spans="1:16" ht="15.75" customHeight="1" x14ac:dyDescent="0.3">
      <c r="A8" s="25">
        <f>(B5*0.743)</f>
        <v>6687</v>
      </c>
      <c r="B8" s="25">
        <f>J5</f>
        <v>1800</v>
      </c>
      <c r="C8" s="25">
        <f>P5</f>
        <v>1472.1875</v>
      </c>
      <c r="D8" s="25">
        <v>1000</v>
      </c>
      <c r="E8" s="25">
        <v>500</v>
      </c>
      <c r="F8" s="25">
        <v>300</v>
      </c>
      <c r="G8" s="18"/>
      <c r="H8" s="63" t="s">
        <v>16</v>
      </c>
      <c r="I8" s="64"/>
      <c r="J8" s="23">
        <f>VLOOKUP(H8,Catalogos!$H$2:$I$13,2,FALSE)</f>
        <v>0</v>
      </c>
      <c r="L8" s="63" t="s">
        <v>5</v>
      </c>
      <c r="M8" s="64"/>
      <c r="N8" s="23">
        <f>VLOOKUP(L8,Catalogos!$A$2:$E$13,5,FALSE)</f>
        <v>208.33333333333334</v>
      </c>
      <c r="O8" s="23">
        <v>0.05</v>
      </c>
      <c r="P8" s="23">
        <f t="shared" si="0"/>
        <v>218.75</v>
      </c>
    </row>
    <row r="9" spans="1:16" ht="15.75" customHeight="1" x14ac:dyDescent="0.3">
      <c r="A9" s="26" t="s">
        <v>40</v>
      </c>
      <c r="B9" s="27" t="s">
        <v>29</v>
      </c>
      <c r="C9" s="27" t="s">
        <v>41</v>
      </c>
      <c r="D9" s="27" t="s">
        <v>42</v>
      </c>
      <c r="E9" s="27" t="s">
        <v>43</v>
      </c>
      <c r="F9" s="28" t="s">
        <v>44</v>
      </c>
      <c r="G9" s="18"/>
      <c r="H9" s="63" t="s">
        <v>16</v>
      </c>
      <c r="I9" s="64"/>
      <c r="J9" s="23">
        <f>VLOOKUP(H9,Catalogos!$H$2:$I$13,2,FALSE)</f>
        <v>0</v>
      </c>
      <c r="L9" s="63" t="s">
        <v>13</v>
      </c>
      <c r="M9" s="64"/>
      <c r="N9" s="23">
        <f>VLOOKUP(L9,Catalogos!$A$2:$E$13,5,FALSE)</f>
        <v>225</v>
      </c>
      <c r="O9" s="23">
        <v>0.05</v>
      </c>
      <c r="P9" s="23">
        <f t="shared" si="0"/>
        <v>236.25</v>
      </c>
    </row>
    <row r="10" spans="1:16" ht="15.75" customHeight="1" x14ac:dyDescent="0.25">
      <c r="A10" s="29">
        <f>A8+B8+C8+D8+E8+F8+B5</f>
        <v>20759.1875</v>
      </c>
      <c r="B10" s="29">
        <f>(B5/(1-(F5/100)))-B5</f>
        <v>2250</v>
      </c>
      <c r="C10" s="29">
        <f>A10+B10</f>
        <v>23009.1875</v>
      </c>
      <c r="D10" s="29">
        <f>C10/30</f>
        <v>766.97291666666672</v>
      </c>
      <c r="E10" s="29">
        <f>D10/8</f>
        <v>95.87161458333334</v>
      </c>
      <c r="F10" s="29">
        <f>((B5/30)/8)+E10</f>
        <v>133.37161458333333</v>
      </c>
      <c r="G10" s="30"/>
      <c r="H10" s="63" t="s">
        <v>16</v>
      </c>
      <c r="I10" s="64"/>
      <c r="J10" s="23">
        <f>VLOOKUP(H10,Catalogos!$H$2:$I$13,2,FALSE)</f>
        <v>0</v>
      </c>
      <c r="L10" s="63" t="s">
        <v>17</v>
      </c>
      <c r="M10" s="64"/>
      <c r="N10" s="23">
        <f>VLOOKUP(L10,Catalogos!$A$2:$E$13,5,FALSE)</f>
        <v>93.75</v>
      </c>
      <c r="O10" s="23">
        <v>0.05</v>
      </c>
      <c r="P10" s="23">
        <f t="shared" si="0"/>
        <v>98.4375</v>
      </c>
    </row>
    <row r="11" spans="1:16" ht="15.75" customHeight="1" x14ac:dyDescent="0.25">
      <c r="A11" s="31"/>
      <c r="B11" s="31"/>
      <c r="C11" s="31"/>
      <c r="D11" s="31"/>
      <c r="E11" s="31"/>
      <c r="F11" s="31"/>
      <c r="G11" s="31"/>
      <c r="H11" s="63" t="s">
        <v>16</v>
      </c>
      <c r="I11" s="64"/>
      <c r="J11" s="23">
        <f>VLOOKUP(H11,Catalogos!$H$2:$I$13,2,FALSE)</f>
        <v>0</v>
      </c>
      <c r="L11" s="63" t="s">
        <v>22</v>
      </c>
      <c r="M11" s="64"/>
      <c r="N11" s="23">
        <f>VLOOKUP(L11,Catalogos!$A$2:$E$13,5,FALSE)</f>
        <v>500</v>
      </c>
      <c r="O11" s="23">
        <v>0.05</v>
      </c>
      <c r="P11" s="23">
        <f t="shared" si="0"/>
        <v>525</v>
      </c>
    </row>
    <row r="12" spans="1:16" ht="15.75" customHeight="1" x14ac:dyDescent="0.25">
      <c r="H12" s="63" t="s">
        <v>16</v>
      </c>
      <c r="I12" s="64"/>
      <c r="J12" s="23">
        <f>VLOOKUP(H12,Catalogos!$H$2:$I$13,2,FALSE)</f>
        <v>0</v>
      </c>
      <c r="L12" s="63" t="s">
        <v>19</v>
      </c>
      <c r="M12" s="64"/>
      <c r="N12" s="23">
        <f>VLOOKUP(L12,Catalogos!$A$2:$E$13,5,FALSE)</f>
        <v>100</v>
      </c>
      <c r="O12" s="23">
        <v>0.05</v>
      </c>
      <c r="P12" s="23">
        <f t="shared" si="0"/>
        <v>105</v>
      </c>
    </row>
    <row r="13" spans="1:16" ht="15.75" customHeight="1" x14ac:dyDescent="0.25"/>
    <row r="14" spans="1:16" ht="15.75" customHeight="1" x14ac:dyDescent="0.25"/>
    <row r="15" spans="1:16" ht="15.75" customHeight="1" x14ac:dyDescent="0.25"/>
    <row r="16" spans="1:16" ht="15.75" customHeight="1" x14ac:dyDescent="0.4">
      <c r="F16" s="32" t="s">
        <v>45</v>
      </c>
    </row>
    <row r="17" spans="6:6" ht="15.75" customHeight="1" x14ac:dyDescent="0.4">
      <c r="F17" s="32" t="s">
        <v>45</v>
      </c>
    </row>
    <row r="18" spans="6:6" ht="15.75" customHeight="1" x14ac:dyDescent="0.4">
      <c r="F18" s="32" t="s">
        <v>45</v>
      </c>
    </row>
    <row r="19" spans="6:6" ht="15.75" customHeight="1" x14ac:dyDescent="0.4">
      <c r="F19" s="32" t="s">
        <v>45</v>
      </c>
    </row>
    <row r="20" spans="6:6" ht="15.75" customHeight="1" x14ac:dyDescent="0.4">
      <c r="F20" s="32" t="s">
        <v>45</v>
      </c>
    </row>
    <row r="21" spans="6:6" ht="15.75" customHeight="1" x14ac:dyDescent="0.4">
      <c r="F21" s="32" t="s">
        <v>45</v>
      </c>
    </row>
    <row r="22" spans="6:6" ht="15.75" customHeight="1" x14ac:dyDescent="0.4">
      <c r="F22" s="32" t="s">
        <v>45</v>
      </c>
    </row>
    <row r="23" spans="6:6" ht="15.75" customHeight="1" x14ac:dyDescent="0.25"/>
    <row r="24" spans="6:6" ht="15.75" customHeight="1" x14ac:dyDescent="0.25"/>
    <row r="25" spans="6:6" ht="15.75" customHeight="1" x14ac:dyDescent="0.25"/>
    <row r="26" spans="6:6" ht="15.75" customHeight="1" x14ac:dyDescent="0.25"/>
    <row r="27" spans="6:6" ht="15.75" customHeight="1" x14ac:dyDescent="0.25"/>
    <row r="28" spans="6:6" ht="15.75" customHeight="1" x14ac:dyDescent="0.25"/>
    <row r="29" spans="6:6" ht="15.75" customHeight="1" x14ac:dyDescent="0.25"/>
    <row r="30" spans="6:6" ht="15.75" customHeight="1" x14ac:dyDescent="0.25"/>
    <row r="31" spans="6:6" ht="15.75" customHeight="1" x14ac:dyDescent="0.25"/>
    <row r="32" spans="6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4">
    <mergeCell ref="H12:I12"/>
    <mergeCell ref="L9:M9"/>
    <mergeCell ref="L10:M10"/>
    <mergeCell ref="L11:M11"/>
    <mergeCell ref="L12:M12"/>
    <mergeCell ref="H9:I9"/>
    <mergeCell ref="H10:I10"/>
    <mergeCell ref="H5:I5"/>
    <mergeCell ref="H6:I6"/>
    <mergeCell ref="H11:I11"/>
    <mergeCell ref="L8:M8"/>
    <mergeCell ref="H3:J3"/>
    <mergeCell ref="L3:P3"/>
    <mergeCell ref="L7:M7"/>
    <mergeCell ref="L4:P4"/>
    <mergeCell ref="H8:I8"/>
    <mergeCell ref="A2:I2"/>
    <mergeCell ref="A3:F4"/>
    <mergeCell ref="A6:F6"/>
    <mergeCell ref="H4:J4"/>
    <mergeCell ref="H7:I7"/>
    <mergeCell ref="J2:P2"/>
    <mergeCell ref="L5:M5"/>
    <mergeCell ref="L6:M6"/>
  </mergeCells>
  <dataValidations count="2">
    <dataValidation type="list" allowBlank="1" showErrorMessage="1" sqref="L6:L12" xr:uid="{00000000-0002-0000-0100-000000000000}">
      <formula1>"Protectores faciales,Casco,Guantes,Camisas,Protectores térmicos,Botas de seguridad,Gafas,Cuchillas,Cinturon,Protección respiratoria,Chalecos de alta visibilidad,Arneses de seguridad"</formula1>
    </dataValidation>
    <dataValidation type="list" allowBlank="1" showErrorMessage="1" sqref="H6:H12" xr:uid="{00000000-0002-0000-0100-000001000000}">
      <formula1>"Transporte,Alimentación,Ninguno"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6CC3-696E-4CD0-9BC3-5096B8328F26}">
  <dimension ref="A1:H5"/>
  <sheetViews>
    <sheetView workbookViewId="0">
      <selection activeCell="H1" sqref="H1"/>
    </sheetView>
  </sheetViews>
  <sheetFormatPr baseColWidth="10" defaultRowHeight="13.2" x14ac:dyDescent="0.25"/>
  <cols>
    <col min="2" max="2" width="22.33203125" bestFit="1" customWidth="1"/>
    <col min="3" max="3" width="13.44140625" bestFit="1" customWidth="1"/>
    <col min="4" max="4" width="12.44140625" customWidth="1"/>
    <col min="6" max="6" width="11.109375" customWidth="1"/>
    <col min="7" max="7" width="12.109375" customWidth="1"/>
  </cols>
  <sheetData>
    <row r="1" spans="1:8" ht="26.4" customHeight="1" x14ac:dyDescent="0.25">
      <c r="A1" s="53" t="s">
        <v>46</v>
      </c>
      <c r="B1" s="53" t="s">
        <v>47</v>
      </c>
      <c r="C1" s="53" t="s">
        <v>48</v>
      </c>
      <c r="D1" s="53" t="s">
        <v>31</v>
      </c>
      <c r="E1" s="53" t="s">
        <v>1</v>
      </c>
      <c r="F1" s="53" t="s">
        <v>49</v>
      </c>
      <c r="G1" s="53" t="s">
        <v>127</v>
      </c>
      <c r="H1" s="53">
        <f>SUM(G2:G4)</f>
        <v>22895</v>
      </c>
    </row>
    <row r="2" spans="1:8" x14ac:dyDescent="0.25">
      <c r="A2" s="37">
        <v>1</v>
      </c>
      <c r="B2" s="33" t="s">
        <v>50</v>
      </c>
      <c r="C2" s="33" t="s">
        <v>51</v>
      </c>
      <c r="D2" s="33">
        <v>27800</v>
      </c>
      <c r="E2" s="34">
        <v>4</v>
      </c>
      <c r="F2" s="37">
        <v>12</v>
      </c>
      <c r="G2" s="33">
        <f>D2*E2/F2</f>
        <v>9266.6666666666661</v>
      </c>
    </row>
    <row r="3" spans="1:8" x14ac:dyDescent="0.25">
      <c r="A3" s="38">
        <v>2</v>
      </c>
      <c r="B3" s="35" t="s">
        <v>52</v>
      </c>
      <c r="C3" s="35" t="s">
        <v>51</v>
      </c>
      <c r="D3" s="35">
        <v>5175</v>
      </c>
      <c r="E3" s="36">
        <v>4</v>
      </c>
      <c r="F3" s="38">
        <v>6</v>
      </c>
      <c r="G3" s="33">
        <f t="shared" ref="G3:G4" si="0">D3*E3/F3</f>
        <v>3450</v>
      </c>
    </row>
    <row r="4" spans="1:8" x14ac:dyDescent="0.25">
      <c r="A4" s="39">
        <v>3</v>
      </c>
      <c r="B4" s="33" t="s">
        <v>53</v>
      </c>
      <c r="C4" s="33" t="s">
        <v>51</v>
      </c>
      <c r="D4" s="33">
        <v>61070</v>
      </c>
      <c r="E4" s="34">
        <v>2</v>
      </c>
      <c r="F4" s="39">
        <v>12</v>
      </c>
      <c r="G4" s="33">
        <f t="shared" si="0"/>
        <v>10178.333333333334</v>
      </c>
    </row>
    <row r="5" spans="1:8" x14ac:dyDescent="0.25">
      <c r="G5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59DB-4504-498F-A438-FCE1AEFEE965}">
  <dimension ref="A1:O52"/>
  <sheetViews>
    <sheetView workbookViewId="0">
      <selection activeCell="I12" sqref="I12"/>
    </sheetView>
  </sheetViews>
  <sheetFormatPr baseColWidth="10" defaultRowHeight="13.2" x14ac:dyDescent="0.25"/>
  <cols>
    <col min="1" max="1" width="43.6640625" bestFit="1" customWidth="1"/>
    <col min="2" max="3" width="12.33203125" bestFit="1" customWidth="1"/>
    <col min="4" max="4" width="15.21875" bestFit="1" customWidth="1"/>
    <col min="5" max="5" width="12.33203125" bestFit="1" customWidth="1"/>
    <col min="6" max="6" width="16.109375" bestFit="1" customWidth="1"/>
    <col min="7" max="7" width="11.21875" customWidth="1"/>
    <col min="10" max="10" width="12.33203125" bestFit="1" customWidth="1"/>
    <col min="11" max="11" width="13.21875" bestFit="1" customWidth="1"/>
    <col min="12" max="12" width="12.5546875" bestFit="1" customWidth="1"/>
    <col min="13" max="13" width="12.33203125" bestFit="1" customWidth="1"/>
    <col min="15" max="15" width="146.77734375" bestFit="1" customWidth="1"/>
  </cols>
  <sheetData>
    <row r="1" spans="1:15" x14ac:dyDescent="0.25">
      <c r="F1">
        <v>3000</v>
      </c>
      <c r="G1">
        <v>222.78</v>
      </c>
    </row>
    <row r="2" spans="1:15" ht="24" x14ac:dyDescent="0.25">
      <c r="A2" s="47" t="s">
        <v>54</v>
      </c>
      <c r="B2" s="47" t="s">
        <v>55</v>
      </c>
      <c r="C2" s="47" t="s">
        <v>56</v>
      </c>
      <c r="D2" s="48" t="s">
        <v>57</v>
      </c>
      <c r="E2" s="47" t="s">
        <v>58</v>
      </c>
      <c r="F2" s="47" t="s">
        <v>59</v>
      </c>
      <c r="G2" s="47" t="s">
        <v>128</v>
      </c>
      <c r="H2" s="47" t="s">
        <v>100</v>
      </c>
      <c r="I2" s="47" t="s">
        <v>60</v>
      </c>
      <c r="J2" s="47" t="s">
        <v>61</v>
      </c>
      <c r="K2" s="47" t="s">
        <v>62</v>
      </c>
      <c r="L2" s="48" t="s">
        <v>63</v>
      </c>
      <c r="M2" s="47" t="s">
        <v>64</v>
      </c>
      <c r="N2" s="47" t="s">
        <v>65</v>
      </c>
      <c r="O2" s="47" t="s">
        <v>101</v>
      </c>
    </row>
    <row r="3" spans="1:15" x14ac:dyDescent="0.25">
      <c r="A3" s="46" t="s">
        <v>66</v>
      </c>
      <c r="B3" s="45" t="b">
        <v>1</v>
      </c>
      <c r="C3" s="45" t="b">
        <v>0</v>
      </c>
      <c r="D3" s="45" t="b">
        <v>0</v>
      </c>
      <c r="E3" s="45" t="b">
        <v>1</v>
      </c>
      <c r="F3" s="43">
        <v>13</v>
      </c>
      <c r="G3" s="70">
        <f t="shared" ref="G3:G34" si="0">(F3*G$1)/F$1</f>
        <v>0.9653799999999999</v>
      </c>
      <c r="H3" s="44"/>
      <c r="I3" s="44" t="s">
        <v>67</v>
      </c>
      <c r="J3" s="45" t="b">
        <v>1</v>
      </c>
      <c r="K3" s="45" t="b">
        <v>1</v>
      </c>
      <c r="L3" t="b">
        <v>0</v>
      </c>
      <c r="M3" t="s">
        <v>102</v>
      </c>
      <c r="N3" t="b">
        <v>0</v>
      </c>
      <c r="O3" s="46" t="s">
        <v>103</v>
      </c>
    </row>
    <row r="4" spans="1:15" x14ac:dyDescent="0.25">
      <c r="A4" s="46" t="s">
        <v>104</v>
      </c>
      <c r="B4" s="45" t="b">
        <v>0</v>
      </c>
      <c r="C4" s="45" t="b">
        <v>0</v>
      </c>
      <c r="D4" s="45" t="b">
        <v>0</v>
      </c>
      <c r="E4" s="45" t="b">
        <v>0</v>
      </c>
      <c r="F4" s="43">
        <v>1</v>
      </c>
      <c r="G4" s="70">
        <f t="shared" si="0"/>
        <v>7.4260000000000007E-2</v>
      </c>
      <c r="H4" s="44"/>
      <c r="I4" s="44" t="s">
        <v>67</v>
      </c>
      <c r="J4" s="45" t="b">
        <v>0</v>
      </c>
      <c r="K4" s="45" t="b">
        <v>0</v>
      </c>
      <c r="L4" t="b">
        <v>0</v>
      </c>
      <c r="M4" t="s">
        <v>102</v>
      </c>
      <c r="N4" t="b">
        <v>0</v>
      </c>
      <c r="O4" s="46" t="s">
        <v>105</v>
      </c>
    </row>
    <row r="5" spans="1:15" x14ac:dyDescent="0.25">
      <c r="A5" s="46" t="s">
        <v>68</v>
      </c>
      <c r="B5" t="b">
        <v>1</v>
      </c>
      <c r="C5" t="b">
        <v>0</v>
      </c>
      <c r="D5" t="b">
        <v>0</v>
      </c>
      <c r="E5" t="b">
        <v>1</v>
      </c>
      <c r="F5" s="44">
        <v>13</v>
      </c>
      <c r="G5" s="71">
        <f t="shared" si="0"/>
        <v>0.9653799999999999</v>
      </c>
      <c r="H5" s="44"/>
      <c r="I5" s="44" t="s">
        <v>67</v>
      </c>
      <c r="J5" s="45" t="b">
        <v>1</v>
      </c>
      <c r="K5" s="45" t="b">
        <v>1</v>
      </c>
      <c r="L5" t="b">
        <v>0</v>
      </c>
      <c r="M5" t="s">
        <v>102</v>
      </c>
      <c r="N5" t="b">
        <v>0</v>
      </c>
      <c r="O5" s="46" t="s">
        <v>103</v>
      </c>
    </row>
    <row r="6" spans="1:15" x14ac:dyDescent="0.25">
      <c r="A6" s="46" t="s">
        <v>69</v>
      </c>
      <c r="B6" s="45" t="b">
        <v>1</v>
      </c>
      <c r="C6" t="b">
        <v>0</v>
      </c>
      <c r="D6" t="b">
        <v>0</v>
      </c>
      <c r="E6" t="b">
        <v>1</v>
      </c>
      <c r="F6" s="44">
        <v>1</v>
      </c>
      <c r="G6" s="71">
        <f t="shared" si="0"/>
        <v>7.4260000000000007E-2</v>
      </c>
      <c r="H6" s="44"/>
      <c r="I6" s="44" t="s">
        <v>67</v>
      </c>
      <c r="J6" s="45" t="b">
        <v>1</v>
      </c>
      <c r="K6" s="45" t="b">
        <v>1</v>
      </c>
      <c r="L6" t="b">
        <v>0</v>
      </c>
      <c r="M6" t="s">
        <v>102</v>
      </c>
      <c r="N6" t="b">
        <v>0</v>
      </c>
      <c r="O6" s="46" t="s">
        <v>106</v>
      </c>
    </row>
    <row r="7" spans="1:15" x14ac:dyDescent="0.25">
      <c r="A7" s="46" t="s">
        <v>70</v>
      </c>
      <c r="B7" s="45" t="b">
        <v>1</v>
      </c>
      <c r="C7" t="b">
        <v>0</v>
      </c>
      <c r="D7" t="b">
        <v>1</v>
      </c>
      <c r="E7" t="b">
        <v>1</v>
      </c>
      <c r="F7" s="44">
        <v>0</v>
      </c>
      <c r="G7" s="71">
        <f t="shared" si="0"/>
        <v>0</v>
      </c>
      <c r="H7" s="44"/>
      <c r="I7" s="44"/>
      <c r="J7" s="45" t="b">
        <v>1</v>
      </c>
      <c r="K7" s="45" t="b">
        <v>1</v>
      </c>
      <c r="L7" t="b">
        <v>0</v>
      </c>
      <c r="M7" t="s">
        <v>71</v>
      </c>
      <c r="N7" t="b">
        <v>0</v>
      </c>
      <c r="O7" s="46" t="s">
        <v>107</v>
      </c>
    </row>
    <row r="8" spans="1:15" x14ac:dyDescent="0.25">
      <c r="A8" s="46" t="s">
        <v>108</v>
      </c>
      <c r="B8" s="45" t="b">
        <v>0</v>
      </c>
      <c r="C8" t="b">
        <v>0</v>
      </c>
      <c r="D8" t="b">
        <v>0</v>
      </c>
      <c r="E8" t="b">
        <v>0</v>
      </c>
      <c r="F8" s="44">
        <v>0</v>
      </c>
      <c r="G8" s="71">
        <f t="shared" si="0"/>
        <v>0</v>
      </c>
      <c r="H8" s="44"/>
      <c r="I8" s="44"/>
      <c r="J8" s="45" t="b">
        <v>1</v>
      </c>
      <c r="K8" s="45" t="b">
        <v>1</v>
      </c>
      <c r="L8" t="b">
        <v>0</v>
      </c>
      <c r="M8" t="s">
        <v>109</v>
      </c>
      <c r="N8" t="b">
        <v>0</v>
      </c>
      <c r="O8" s="46" t="s">
        <v>110</v>
      </c>
    </row>
    <row r="9" spans="1:15" x14ac:dyDescent="0.25">
      <c r="A9" s="46" t="s">
        <v>78</v>
      </c>
      <c r="B9" t="b">
        <v>0</v>
      </c>
      <c r="C9" t="b">
        <v>1</v>
      </c>
      <c r="D9" t="b">
        <v>0</v>
      </c>
      <c r="E9" t="b">
        <v>0</v>
      </c>
      <c r="F9" s="44">
        <v>1</v>
      </c>
      <c r="G9" s="71">
        <f t="shared" si="0"/>
        <v>7.4260000000000007E-2</v>
      </c>
      <c r="H9" s="44"/>
      <c r="I9" s="44" t="s">
        <v>67</v>
      </c>
      <c r="J9" s="45" t="b">
        <v>1</v>
      </c>
      <c r="K9" s="45" t="b">
        <v>1</v>
      </c>
      <c r="L9" t="b">
        <v>0</v>
      </c>
      <c r="M9" t="s">
        <v>102</v>
      </c>
      <c r="N9" t="b">
        <v>0</v>
      </c>
      <c r="O9" s="46" t="s">
        <v>111</v>
      </c>
    </row>
    <row r="10" spans="1:15" x14ac:dyDescent="0.25">
      <c r="A10" s="46" t="s">
        <v>112</v>
      </c>
      <c r="B10" s="45" t="b">
        <v>0</v>
      </c>
      <c r="C10" t="b">
        <v>0</v>
      </c>
      <c r="D10" t="b">
        <v>0</v>
      </c>
      <c r="E10" t="b">
        <v>0</v>
      </c>
      <c r="F10" s="44">
        <v>1</v>
      </c>
      <c r="G10" s="71">
        <f t="shared" si="0"/>
        <v>7.4260000000000007E-2</v>
      </c>
      <c r="H10" s="44"/>
      <c r="I10" s="44" t="s">
        <v>67</v>
      </c>
      <c r="J10" s="45" t="b">
        <v>0</v>
      </c>
      <c r="K10" s="45" t="b">
        <v>0</v>
      </c>
      <c r="L10" t="b">
        <v>0</v>
      </c>
      <c r="M10" t="s">
        <v>102</v>
      </c>
      <c r="N10" t="b">
        <v>0</v>
      </c>
      <c r="O10" s="46" t="s">
        <v>105</v>
      </c>
    </row>
    <row r="11" spans="1:15" x14ac:dyDescent="0.25">
      <c r="A11" s="46" t="s">
        <v>79</v>
      </c>
      <c r="B11" s="45" t="b">
        <v>0</v>
      </c>
      <c r="C11" t="b">
        <v>1</v>
      </c>
      <c r="D11" t="b">
        <v>1</v>
      </c>
      <c r="E11" t="b">
        <v>0</v>
      </c>
      <c r="F11" s="44">
        <v>3</v>
      </c>
      <c r="G11" s="71">
        <f t="shared" si="0"/>
        <v>0.22278000000000001</v>
      </c>
      <c r="H11" s="44"/>
      <c r="I11" s="44" t="s">
        <v>67</v>
      </c>
      <c r="J11" s="45" t="b">
        <v>1</v>
      </c>
      <c r="K11" s="45" t="b">
        <v>1</v>
      </c>
      <c r="L11" t="b">
        <v>0</v>
      </c>
      <c r="M11" t="s">
        <v>102</v>
      </c>
      <c r="N11" t="b">
        <v>0</v>
      </c>
      <c r="O11" s="46" t="s">
        <v>113</v>
      </c>
    </row>
    <row r="12" spans="1:15" x14ac:dyDescent="0.25">
      <c r="A12" s="46" t="s">
        <v>80</v>
      </c>
      <c r="B12" s="45" t="b">
        <v>0</v>
      </c>
      <c r="C12" t="b">
        <v>1</v>
      </c>
      <c r="D12" t="b">
        <v>1</v>
      </c>
      <c r="E12" t="b">
        <v>0</v>
      </c>
      <c r="F12" s="44">
        <v>5</v>
      </c>
      <c r="G12" s="71">
        <f t="shared" si="0"/>
        <v>0.37130000000000002</v>
      </c>
      <c r="H12" s="44"/>
      <c r="I12" s="44" t="s">
        <v>67</v>
      </c>
      <c r="J12" s="45" t="b">
        <v>1</v>
      </c>
      <c r="K12" s="45" t="b">
        <v>1</v>
      </c>
      <c r="L12" t="b">
        <v>0</v>
      </c>
      <c r="M12" t="s">
        <v>102</v>
      </c>
      <c r="N12" t="b">
        <v>0</v>
      </c>
      <c r="O12" s="46" t="s">
        <v>113</v>
      </c>
    </row>
    <row r="13" spans="1:15" x14ac:dyDescent="0.25">
      <c r="A13" s="46" t="s">
        <v>114</v>
      </c>
      <c r="B13" s="45" t="b">
        <v>0</v>
      </c>
      <c r="C13" t="b">
        <v>0</v>
      </c>
      <c r="D13" t="b">
        <v>0</v>
      </c>
      <c r="E13" t="b">
        <v>0</v>
      </c>
      <c r="F13" s="44"/>
      <c r="G13" s="71">
        <f t="shared" si="0"/>
        <v>0</v>
      </c>
      <c r="H13" s="44"/>
      <c r="I13" s="44" t="s">
        <v>67</v>
      </c>
      <c r="J13" s="45" t="b">
        <v>0</v>
      </c>
      <c r="K13" s="45" t="b">
        <v>0</v>
      </c>
      <c r="L13" t="b">
        <v>0</v>
      </c>
      <c r="M13" t="s">
        <v>102</v>
      </c>
      <c r="N13" t="b">
        <v>0</v>
      </c>
      <c r="O13" s="46" t="s">
        <v>115</v>
      </c>
    </row>
    <row r="14" spans="1:15" x14ac:dyDescent="0.25">
      <c r="A14" s="46" t="s">
        <v>81</v>
      </c>
      <c r="B14" s="45" t="b">
        <v>1</v>
      </c>
      <c r="C14" t="b">
        <v>0</v>
      </c>
      <c r="D14" t="b">
        <v>0</v>
      </c>
      <c r="E14" t="b">
        <v>1</v>
      </c>
      <c r="F14" s="44">
        <v>19</v>
      </c>
      <c r="G14" s="71">
        <f t="shared" si="0"/>
        <v>1.4109399999999999</v>
      </c>
      <c r="H14" s="44"/>
      <c r="I14" s="44" t="s">
        <v>67</v>
      </c>
      <c r="J14" s="45" t="b">
        <v>1</v>
      </c>
      <c r="K14" s="45" t="b">
        <v>1</v>
      </c>
      <c r="L14" t="b">
        <v>0</v>
      </c>
      <c r="M14" t="s">
        <v>102</v>
      </c>
      <c r="N14" t="b">
        <v>0</v>
      </c>
      <c r="O14" s="46" t="s">
        <v>103</v>
      </c>
    </row>
    <row r="15" spans="1:15" x14ac:dyDescent="0.25">
      <c r="A15" s="46" t="s">
        <v>82</v>
      </c>
      <c r="B15" s="45" t="b">
        <v>1</v>
      </c>
      <c r="C15" t="b">
        <v>0</v>
      </c>
      <c r="D15" t="b">
        <v>0</v>
      </c>
      <c r="E15" t="b">
        <v>1</v>
      </c>
      <c r="F15" s="44">
        <v>1</v>
      </c>
      <c r="G15" s="71">
        <f t="shared" si="0"/>
        <v>7.4260000000000007E-2</v>
      </c>
      <c r="H15" s="44"/>
      <c r="I15" s="44" t="s">
        <v>67</v>
      </c>
      <c r="J15" s="45" t="b">
        <v>1</v>
      </c>
      <c r="K15" s="45" t="b">
        <v>1</v>
      </c>
      <c r="L15" t="b">
        <v>0</v>
      </c>
      <c r="M15" t="s">
        <v>102</v>
      </c>
      <c r="N15" t="b">
        <v>0</v>
      </c>
      <c r="O15" s="46" t="s">
        <v>106</v>
      </c>
    </row>
    <row r="16" spans="1:15" x14ac:dyDescent="0.25">
      <c r="A16" s="46" t="s">
        <v>83</v>
      </c>
      <c r="B16" s="45" t="b">
        <v>0</v>
      </c>
      <c r="C16" t="b">
        <v>1</v>
      </c>
      <c r="D16" t="b">
        <v>1</v>
      </c>
      <c r="E16" t="b">
        <v>0</v>
      </c>
      <c r="F16" s="44">
        <v>4</v>
      </c>
      <c r="G16" s="71">
        <f t="shared" si="0"/>
        <v>0.29704000000000003</v>
      </c>
      <c r="H16" s="44"/>
      <c r="I16" s="44" t="s">
        <v>67</v>
      </c>
      <c r="J16" s="45" t="b">
        <v>1</v>
      </c>
      <c r="K16" s="45" t="b">
        <v>1</v>
      </c>
      <c r="L16" t="b">
        <v>0</v>
      </c>
      <c r="M16" t="s">
        <v>102</v>
      </c>
      <c r="N16" t="b">
        <v>0</v>
      </c>
      <c r="O16" s="46" t="s">
        <v>113</v>
      </c>
    </row>
    <row r="17" spans="1:15" x14ac:dyDescent="0.25">
      <c r="A17" s="46" t="s">
        <v>84</v>
      </c>
      <c r="B17" s="45" t="b">
        <v>1</v>
      </c>
      <c r="C17" t="b">
        <v>0</v>
      </c>
      <c r="D17" t="b">
        <v>0</v>
      </c>
      <c r="E17" t="b">
        <v>1</v>
      </c>
      <c r="F17" s="44">
        <v>19</v>
      </c>
      <c r="G17" s="71">
        <f t="shared" si="0"/>
        <v>1.4109399999999999</v>
      </c>
      <c r="H17" s="44"/>
      <c r="I17" s="44" t="s">
        <v>67</v>
      </c>
      <c r="J17" s="45" t="b">
        <v>1</v>
      </c>
      <c r="K17" s="45" t="b">
        <v>1</v>
      </c>
      <c r="L17" t="b">
        <v>0</v>
      </c>
      <c r="M17" t="s">
        <v>102</v>
      </c>
      <c r="N17" t="b">
        <v>0</v>
      </c>
      <c r="O17" s="46" t="s">
        <v>103</v>
      </c>
    </row>
    <row r="18" spans="1:15" x14ac:dyDescent="0.25">
      <c r="A18" s="46" t="s">
        <v>85</v>
      </c>
      <c r="B18" t="b">
        <v>1</v>
      </c>
      <c r="C18" t="b">
        <v>0</v>
      </c>
      <c r="D18" t="b">
        <v>0</v>
      </c>
      <c r="E18" t="b">
        <v>1</v>
      </c>
      <c r="F18" s="44">
        <v>1</v>
      </c>
      <c r="G18" s="71">
        <f t="shared" si="0"/>
        <v>7.4260000000000007E-2</v>
      </c>
      <c r="H18" s="44"/>
      <c r="I18" s="44" t="s">
        <v>67</v>
      </c>
      <c r="J18" s="45" t="b">
        <v>1</v>
      </c>
      <c r="K18" s="45" t="b">
        <v>1</v>
      </c>
      <c r="L18" t="b">
        <v>0</v>
      </c>
      <c r="M18" t="s">
        <v>102</v>
      </c>
      <c r="N18" t="b">
        <v>0</v>
      </c>
      <c r="O18" s="46" t="s">
        <v>116</v>
      </c>
    </row>
    <row r="19" spans="1:15" x14ac:dyDescent="0.25">
      <c r="A19" s="46" t="s">
        <v>86</v>
      </c>
      <c r="B19" t="b">
        <v>0</v>
      </c>
      <c r="C19" t="b">
        <v>1</v>
      </c>
      <c r="D19" t="b">
        <v>1</v>
      </c>
      <c r="E19" t="b">
        <v>0</v>
      </c>
      <c r="F19" s="44">
        <v>3</v>
      </c>
      <c r="G19" s="71">
        <f t="shared" si="0"/>
        <v>0.22278000000000001</v>
      </c>
      <c r="H19" s="44"/>
      <c r="I19" s="44" t="s">
        <v>67</v>
      </c>
      <c r="J19" s="45" t="b">
        <v>1</v>
      </c>
      <c r="K19" s="45" t="b">
        <v>1</v>
      </c>
      <c r="L19" t="b">
        <v>0</v>
      </c>
      <c r="M19" t="s">
        <v>102</v>
      </c>
      <c r="N19" t="b">
        <v>0</v>
      </c>
      <c r="O19" s="46" t="s">
        <v>113</v>
      </c>
    </row>
    <row r="20" spans="1:15" x14ac:dyDescent="0.25">
      <c r="A20" s="46" t="s">
        <v>87</v>
      </c>
      <c r="B20" t="b">
        <v>1</v>
      </c>
      <c r="C20" t="b">
        <v>0</v>
      </c>
      <c r="D20" t="b">
        <v>0</v>
      </c>
      <c r="E20" t="b">
        <v>1</v>
      </c>
      <c r="F20" s="44">
        <v>13</v>
      </c>
      <c r="G20" s="71">
        <f t="shared" si="0"/>
        <v>0.9653799999999999</v>
      </c>
      <c r="H20" s="44"/>
      <c r="I20" s="44" t="s">
        <v>67</v>
      </c>
      <c r="J20" s="45" t="b">
        <v>1</v>
      </c>
      <c r="K20" s="45" t="b">
        <v>1</v>
      </c>
      <c r="L20" t="b">
        <v>0</v>
      </c>
      <c r="M20" t="s">
        <v>102</v>
      </c>
      <c r="N20" t="b">
        <v>0</v>
      </c>
      <c r="O20" s="46" t="s">
        <v>103</v>
      </c>
    </row>
    <row r="21" spans="1:15" x14ac:dyDescent="0.25">
      <c r="A21" s="46" t="s">
        <v>117</v>
      </c>
      <c r="B21" t="b">
        <v>0</v>
      </c>
      <c r="C21" t="b">
        <v>0</v>
      </c>
      <c r="D21" t="b">
        <v>0</v>
      </c>
      <c r="E21" t="b">
        <v>0</v>
      </c>
      <c r="F21" s="44">
        <v>1</v>
      </c>
      <c r="G21" s="71">
        <f t="shared" si="0"/>
        <v>7.4260000000000007E-2</v>
      </c>
      <c r="H21" s="44"/>
      <c r="I21" s="44" t="s">
        <v>67</v>
      </c>
      <c r="J21" s="45" t="b">
        <v>0</v>
      </c>
      <c r="K21" s="45" t="b">
        <v>0</v>
      </c>
      <c r="L21" t="b">
        <v>0</v>
      </c>
      <c r="M21" t="s">
        <v>102</v>
      </c>
      <c r="N21" t="b">
        <v>0</v>
      </c>
      <c r="O21" s="46" t="s">
        <v>105</v>
      </c>
    </row>
    <row r="22" spans="1:15" x14ac:dyDescent="0.25">
      <c r="A22" s="46" t="s">
        <v>88</v>
      </c>
      <c r="B22" t="b">
        <v>1</v>
      </c>
      <c r="C22" t="b">
        <v>0</v>
      </c>
      <c r="D22" t="b">
        <v>0</v>
      </c>
      <c r="E22" t="b">
        <v>1</v>
      </c>
      <c r="F22" s="44">
        <v>1</v>
      </c>
      <c r="G22" s="71">
        <f t="shared" si="0"/>
        <v>7.4260000000000007E-2</v>
      </c>
      <c r="H22" s="44"/>
      <c r="I22" s="44" t="s">
        <v>67</v>
      </c>
      <c r="J22" s="45" t="b">
        <v>1</v>
      </c>
      <c r="K22" s="45" t="b">
        <v>1</v>
      </c>
      <c r="L22" t="b">
        <v>0</v>
      </c>
      <c r="M22" t="s">
        <v>102</v>
      </c>
      <c r="N22" t="b">
        <v>0</v>
      </c>
      <c r="O22" s="46" t="s">
        <v>116</v>
      </c>
    </row>
    <row r="23" spans="1:15" x14ac:dyDescent="0.25">
      <c r="A23" s="46" t="s">
        <v>83</v>
      </c>
      <c r="B23" t="b">
        <v>0</v>
      </c>
      <c r="C23" t="b">
        <v>0</v>
      </c>
      <c r="D23" t="b">
        <v>1</v>
      </c>
      <c r="E23" t="b">
        <v>0</v>
      </c>
      <c r="F23" s="44">
        <v>8</v>
      </c>
      <c r="G23" s="71">
        <f t="shared" si="0"/>
        <v>0.59408000000000005</v>
      </c>
      <c r="H23" s="44"/>
      <c r="I23" s="44" t="s">
        <v>67</v>
      </c>
      <c r="J23" s="45" t="b">
        <v>1</v>
      </c>
      <c r="K23" s="45" t="b">
        <v>1</v>
      </c>
      <c r="L23" t="b">
        <v>0</v>
      </c>
      <c r="M23" t="s">
        <v>102</v>
      </c>
      <c r="N23" t="b">
        <v>0</v>
      </c>
      <c r="O23" s="46" t="s">
        <v>118</v>
      </c>
    </row>
    <row r="24" spans="1:15" x14ac:dyDescent="0.25">
      <c r="A24" s="46" t="s">
        <v>87</v>
      </c>
      <c r="B24" t="b">
        <v>0</v>
      </c>
      <c r="C24" t="b">
        <v>1</v>
      </c>
      <c r="D24" t="b">
        <v>0</v>
      </c>
      <c r="E24" t="b">
        <v>0</v>
      </c>
      <c r="F24" s="44">
        <v>1</v>
      </c>
      <c r="G24" s="71">
        <f t="shared" si="0"/>
        <v>7.4260000000000007E-2</v>
      </c>
      <c r="H24" s="44"/>
      <c r="I24" s="44" t="s">
        <v>67</v>
      </c>
      <c r="J24" s="45" t="b">
        <v>1</v>
      </c>
      <c r="K24" s="45" t="b">
        <v>1</v>
      </c>
      <c r="L24" t="b">
        <v>0</v>
      </c>
      <c r="M24" t="s">
        <v>102</v>
      </c>
      <c r="N24" t="b">
        <v>0</v>
      </c>
      <c r="O24" s="46" t="s">
        <v>111</v>
      </c>
    </row>
    <row r="25" spans="1:15" x14ac:dyDescent="0.25">
      <c r="A25" s="46" t="s">
        <v>117</v>
      </c>
      <c r="B25" t="b">
        <v>0</v>
      </c>
      <c r="C25" t="b">
        <v>0</v>
      </c>
      <c r="D25" t="b">
        <v>0</v>
      </c>
      <c r="E25" t="b">
        <v>0</v>
      </c>
      <c r="F25" s="44">
        <v>1</v>
      </c>
      <c r="G25" s="71">
        <f t="shared" si="0"/>
        <v>7.4260000000000007E-2</v>
      </c>
      <c r="H25" s="44"/>
      <c r="I25" s="44" t="s">
        <v>67</v>
      </c>
      <c r="J25" s="45" t="b">
        <v>0</v>
      </c>
      <c r="K25" s="45" t="b">
        <v>0</v>
      </c>
      <c r="L25" t="b">
        <v>0</v>
      </c>
      <c r="M25" t="s">
        <v>102</v>
      </c>
      <c r="N25" t="b">
        <v>0</v>
      </c>
      <c r="O25" s="46" t="s">
        <v>105</v>
      </c>
    </row>
    <row r="26" spans="1:15" x14ac:dyDescent="0.25">
      <c r="A26" s="46" t="s">
        <v>82</v>
      </c>
      <c r="B26" t="b">
        <v>1</v>
      </c>
      <c r="C26" t="b">
        <v>0</v>
      </c>
      <c r="D26" t="b">
        <v>0</v>
      </c>
      <c r="E26" t="b">
        <v>1</v>
      </c>
      <c r="F26" s="44">
        <v>1</v>
      </c>
      <c r="G26" s="71">
        <f t="shared" si="0"/>
        <v>7.4260000000000007E-2</v>
      </c>
      <c r="H26" s="44"/>
      <c r="I26" s="44" t="s">
        <v>67</v>
      </c>
      <c r="J26" s="45" t="b">
        <v>1</v>
      </c>
      <c r="K26" s="45" t="b">
        <v>1</v>
      </c>
      <c r="L26" t="b">
        <v>0</v>
      </c>
      <c r="M26" t="s">
        <v>102</v>
      </c>
      <c r="N26" t="b">
        <v>0</v>
      </c>
      <c r="O26" s="46" t="s">
        <v>116</v>
      </c>
    </row>
    <row r="27" spans="1:15" x14ac:dyDescent="0.25">
      <c r="A27" s="46" t="s">
        <v>88</v>
      </c>
      <c r="B27" t="b">
        <v>1</v>
      </c>
      <c r="C27" t="b">
        <v>0</v>
      </c>
      <c r="D27" t="b">
        <v>0</v>
      </c>
      <c r="E27" t="b">
        <v>1</v>
      </c>
      <c r="F27" s="44">
        <v>9</v>
      </c>
      <c r="G27" s="71">
        <f t="shared" si="0"/>
        <v>0.66834000000000005</v>
      </c>
      <c r="H27" s="44"/>
      <c r="I27" s="44" t="s">
        <v>67</v>
      </c>
      <c r="J27" s="45" t="b">
        <v>1</v>
      </c>
      <c r="K27" s="45" t="b">
        <v>1</v>
      </c>
      <c r="L27" t="b">
        <v>0</v>
      </c>
      <c r="M27" t="s">
        <v>102</v>
      </c>
      <c r="N27" t="b">
        <v>0</v>
      </c>
      <c r="O27" s="46" t="s">
        <v>103</v>
      </c>
    </row>
    <row r="28" spans="1:15" x14ac:dyDescent="0.25">
      <c r="A28" s="46" t="s">
        <v>89</v>
      </c>
      <c r="B28" t="b">
        <v>0</v>
      </c>
      <c r="C28" t="b">
        <v>1</v>
      </c>
      <c r="D28" t="b">
        <v>0</v>
      </c>
      <c r="E28" t="b">
        <v>0</v>
      </c>
      <c r="F28" s="44">
        <v>1</v>
      </c>
      <c r="G28" s="71">
        <f t="shared" si="0"/>
        <v>7.4260000000000007E-2</v>
      </c>
      <c r="H28" s="44"/>
      <c r="I28" s="44" t="s">
        <v>67</v>
      </c>
      <c r="J28" s="45" t="b">
        <v>1</v>
      </c>
      <c r="K28" s="45" t="b">
        <v>1</v>
      </c>
      <c r="L28" t="b">
        <v>0</v>
      </c>
      <c r="M28" t="s">
        <v>102</v>
      </c>
      <c r="N28" t="b">
        <v>0</v>
      </c>
      <c r="O28" s="46" t="s">
        <v>119</v>
      </c>
    </row>
    <row r="29" spans="1:15" x14ac:dyDescent="0.25">
      <c r="A29" s="46" t="s">
        <v>69</v>
      </c>
      <c r="B29" t="b">
        <v>0</v>
      </c>
      <c r="C29" t="b">
        <v>0</v>
      </c>
      <c r="D29" t="b">
        <v>0</v>
      </c>
      <c r="E29" t="b">
        <v>0</v>
      </c>
      <c r="F29" s="44">
        <v>1</v>
      </c>
      <c r="G29" s="71">
        <f t="shared" si="0"/>
        <v>7.4260000000000007E-2</v>
      </c>
      <c r="H29" s="44"/>
      <c r="I29" s="44" t="s">
        <v>67</v>
      </c>
      <c r="J29" s="45" t="b">
        <v>1</v>
      </c>
      <c r="K29" s="45" t="b">
        <v>1</v>
      </c>
      <c r="L29" t="b">
        <v>0</v>
      </c>
      <c r="M29" t="s">
        <v>102</v>
      </c>
      <c r="N29" t="b">
        <v>0</v>
      </c>
      <c r="O29" s="46" t="s">
        <v>120</v>
      </c>
    </row>
    <row r="30" spans="1:15" x14ac:dyDescent="0.25">
      <c r="A30" s="46" t="s">
        <v>70</v>
      </c>
      <c r="B30" t="b">
        <v>0</v>
      </c>
      <c r="C30" t="b">
        <v>0</v>
      </c>
      <c r="D30" t="b">
        <v>0</v>
      </c>
      <c r="E30" t="b">
        <v>0</v>
      </c>
      <c r="F30" s="44"/>
      <c r="G30" s="71">
        <f t="shared" si="0"/>
        <v>0</v>
      </c>
      <c r="H30" s="44"/>
      <c r="I30" s="44"/>
      <c r="J30" s="45" t="b">
        <v>1</v>
      </c>
      <c r="K30" s="45" t="b">
        <v>1</v>
      </c>
      <c r="L30" t="b">
        <v>0</v>
      </c>
      <c r="M30" t="s">
        <v>102</v>
      </c>
      <c r="N30" t="b">
        <v>0</v>
      </c>
      <c r="O30" s="46" t="s">
        <v>121</v>
      </c>
    </row>
    <row r="31" spans="1:15" x14ac:dyDescent="0.25">
      <c r="A31" s="46" t="s">
        <v>108</v>
      </c>
      <c r="B31" t="b">
        <v>0</v>
      </c>
      <c r="C31" t="b">
        <v>0</v>
      </c>
      <c r="D31" t="b">
        <v>0</v>
      </c>
      <c r="E31" t="b">
        <v>0</v>
      </c>
      <c r="F31" s="44"/>
      <c r="G31" s="71">
        <f t="shared" si="0"/>
        <v>0</v>
      </c>
      <c r="H31" s="44"/>
      <c r="I31" s="44"/>
      <c r="J31" s="45" t="b">
        <v>1</v>
      </c>
      <c r="K31" s="45" t="b">
        <v>1</v>
      </c>
      <c r="L31" t="b">
        <v>0</v>
      </c>
      <c r="M31" t="s">
        <v>102</v>
      </c>
      <c r="N31" t="b">
        <v>0</v>
      </c>
      <c r="O31" s="46" t="s">
        <v>121</v>
      </c>
    </row>
    <row r="32" spans="1:15" x14ac:dyDescent="0.25">
      <c r="A32" s="46" t="s">
        <v>78</v>
      </c>
      <c r="B32" t="b">
        <v>0</v>
      </c>
      <c r="C32" t="b">
        <v>1</v>
      </c>
      <c r="D32" t="b">
        <v>0</v>
      </c>
      <c r="E32" t="b">
        <v>0</v>
      </c>
      <c r="F32" s="44">
        <v>1</v>
      </c>
      <c r="G32" s="71">
        <f t="shared" si="0"/>
        <v>7.4260000000000007E-2</v>
      </c>
      <c r="H32" s="44"/>
      <c r="I32" s="44" t="s">
        <v>67</v>
      </c>
      <c r="J32" s="45" t="b">
        <v>1</v>
      </c>
      <c r="K32" s="45" t="b">
        <v>1</v>
      </c>
      <c r="L32" t="b">
        <v>0</v>
      </c>
      <c r="M32" t="s">
        <v>102</v>
      </c>
      <c r="N32" t="b">
        <v>0</v>
      </c>
      <c r="O32" s="46" t="s">
        <v>111</v>
      </c>
    </row>
    <row r="33" spans="1:15" x14ac:dyDescent="0.25">
      <c r="A33" s="46" t="s">
        <v>79</v>
      </c>
      <c r="B33" t="b">
        <v>0</v>
      </c>
      <c r="C33" t="b">
        <v>1</v>
      </c>
      <c r="D33" t="b">
        <v>1</v>
      </c>
      <c r="E33" t="b">
        <v>0</v>
      </c>
      <c r="F33" s="44">
        <v>9</v>
      </c>
      <c r="G33" s="71">
        <f t="shared" si="0"/>
        <v>0.66834000000000005</v>
      </c>
      <c r="H33" s="44"/>
      <c r="I33" s="44" t="s">
        <v>67</v>
      </c>
      <c r="J33" s="45" t="b">
        <v>1</v>
      </c>
      <c r="K33" s="45" t="b">
        <v>1</v>
      </c>
      <c r="L33" t="b">
        <v>0</v>
      </c>
      <c r="M33" t="s">
        <v>102</v>
      </c>
      <c r="N33" t="b">
        <v>0</v>
      </c>
      <c r="O33" s="46" t="s">
        <v>113</v>
      </c>
    </row>
    <row r="34" spans="1:15" x14ac:dyDescent="0.25">
      <c r="A34" s="46" t="s">
        <v>90</v>
      </c>
      <c r="B34" t="b">
        <v>0</v>
      </c>
      <c r="C34" t="b">
        <v>1</v>
      </c>
      <c r="D34" t="b">
        <v>1</v>
      </c>
      <c r="E34" t="b">
        <v>0</v>
      </c>
      <c r="F34" s="44">
        <v>9</v>
      </c>
      <c r="G34" s="71">
        <f t="shared" si="0"/>
        <v>0.66834000000000005</v>
      </c>
      <c r="H34" s="44"/>
      <c r="I34" s="44" t="s">
        <v>67</v>
      </c>
      <c r="J34" s="45" t="b">
        <v>1</v>
      </c>
      <c r="K34" s="45" t="b">
        <v>1</v>
      </c>
      <c r="L34" t="b">
        <v>0</v>
      </c>
      <c r="M34" t="s">
        <v>102</v>
      </c>
      <c r="N34" t="b">
        <v>0</v>
      </c>
      <c r="O34" s="46" t="s">
        <v>113</v>
      </c>
    </row>
    <row r="35" spans="1:15" x14ac:dyDescent="0.25">
      <c r="A35" s="46" t="s">
        <v>83</v>
      </c>
      <c r="B35" t="b">
        <v>0</v>
      </c>
      <c r="C35" t="b">
        <v>1</v>
      </c>
      <c r="D35" t="b">
        <v>1</v>
      </c>
      <c r="E35" t="b">
        <v>0</v>
      </c>
      <c r="F35" s="44">
        <v>8</v>
      </c>
      <c r="G35" s="71">
        <f t="shared" ref="G35:G66" si="1">(F35*G$1)/F$1</f>
        <v>0.59408000000000005</v>
      </c>
      <c r="H35" s="44"/>
      <c r="I35" s="44" t="s">
        <v>67</v>
      </c>
      <c r="J35" s="45" t="b">
        <v>1</v>
      </c>
      <c r="K35" s="45" t="b">
        <v>1</v>
      </c>
      <c r="L35" t="b">
        <v>0</v>
      </c>
      <c r="M35" t="s">
        <v>102</v>
      </c>
      <c r="N35" t="b">
        <v>0</v>
      </c>
      <c r="O35" s="46" t="s">
        <v>113</v>
      </c>
    </row>
    <row r="36" spans="1:15" x14ac:dyDescent="0.25">
      <c r="A36" s="46" t="s">
        <v>80</v>
      </c>
      <c r="B36" t="b">
        <v>0</v>
      </c>
      <c r="C36" t="b">
        <v>1</v>
      </c>
      <c r="D36" t="b">
        <v>1</v>
      </c>
      <c r="E36" t="b">
        <v>0</v>
      </c>
      <c r="F36" s="44">
        <v>5</v>
      </c>
      <c r="G36" s="71">
        <f t="shared" si="1"/>
        <v>0.37130000000000002</v>
      </c>
      <c r="H36" s="44"/>
      <c r="I36" s="44" t="s">
        <v>67</v>
      </c>
      <c r="J36" s="45" t="b">
        <v>1</v>
      </c>
      <c r="K36" s="45" t="b">
        <v>1</v>
      </c>
      <c r="L36" t="b">
        <v>0</v>
      </c>
      <c r="M36" t="s">
        <v>102</v>
      </c>
      <c r="N36" t="b">
        <v>0</v>
      </c>
      <c r="O36" s="46" t="s">
        <v>113</v>
      </c>
    </row>
    <row r="37" spans="1:15" x14ac:dyDescent="0.25">
      <c r="A37" s="46" t="s">
        <v>86</v>
      </c>
      <c r="B37" t="b">
        <v>0</v>
      </c>
      <c r="C37" t="b">
        <v>1</v>
      </c>
      <c r="D37" t="b">
        <v>1</v>
      </c>
      <c r="E37" t="b">
        <v>0</v>
      </c>
      <c r="F37" s="44">
        <v>9</v>
      </c>
      <c r="G37" s="71">
        <f t="shared" si="1"/>
        <v>0.66834000000000005</v>
      </c>
      <c r="H37" s="44"/>
      <c r="I37" s="44" t="s">
        <v>67</v>
      </c>
      <c r="J37" s="45" t="b">
        <v>1</v>
      </c>
      <c r="K37" s="45" t="b">
        <v>1</v>
      </c>
      <c r="L37" t="b">
        <v>0</v>
      </c>
      <c r="M37" t="s">
        <v>102</v>
      </c>
      <c r="N37" t="b">
        <v>0</v>
      </c>
      <c r="O37" s="46" t="s">
        <v>113</v>
      </c>
    </row>
    <row r="38" spans="1:15" x14ac:dyDescent="0.25">
      <c r="A38" s="46" t="s">
        <v>84</v>
      </c>
      <c r="B38" t="b">
        <v>1</v>
      </c>
      <c r="C38" t="b">
        <v>0</v>
      </c>
      <c r="D38" t="b">
        <v>0</v>
      </c>
      <c r="E38" t="b">
        <v>1</v>
      </c>
      <c r="F38" s="44">
        <v>19</v>
      </c>
      <c r="G38" s="71">
        <f t="shared" si="1"/>
        <v>1.4109399999999999</v>
      </c>
      <c r="H38" s="44"/>
      <c r="I38" s="44" t="s">
        <v>67</v>
      </c>
      <c r="J38" s="45" t="b">
        <v>1</v>
      </c>
      <c r="K38" s="45" t="b">
        <v>1</v>
      </c>
      <c r="L38" t="b">
        <v>0</v>
      </c>
      <c r="M38" t="s">
        <v>102</v>
      </c>
      <c r="N38" t="b">
        <v>0</v>
      </c>
      <c r="O38" s="46" t="s">
        <v>103</v>
      </c>
    </row>
    <row r="39" spans="1:15" x14ac:dyDescent="0.25">
      <c r="A39" s="46" t="s">
        <v>68</v>
      </c>
      <c r="B39" t="b">
        <v>0</v>
      </c>
      <c r="C39" t="b">
        <v>1</v>
      </c>
      <c r="D39" t="b">
        <v>0</v>
      </c>
      <c r="E39" t="b">
        <v>0</v>
      </c>
      <c r="F39" s="44">
        <v>1</v>
      </c>
      <c r="G39" s="71">
        <f t="shared" si="1"/>
        <v>7.4260000000000007E-2</v>
      </c>
      <c r="H39" s="44"/>
      <c r="I39" s="44" t="s">
        <v>67</v>
      </c>
      <c r="J39" s="45" t="b">
        <v>1</v>
      </c>
      <c r="K39" s="45" t="b">
        <v>1</v>
      </c>
      <c r="L39" t="b">
        <v>0</v>
      </c>
      <c r="M39" t="s">
        <v>102</v>
      </c>
      <c r="N39" t="b">
        <v>0</v>
      </c>
      <c r="O39" s="46" t="s">
        <v>111</v>
      </c>
    </row>
    <row r="40" spans="1:15" x14ac:dyDescent="0.25">
      <c r="A40" s="46" t="s">
        <v>85</v>
      </c>
      <c r="B40" t="b">
        <v>1</v>
      </c>
      <c r="C40" t="b">
        <v>0</v>
      </c>
      <c r="D40" t="b">
        <v>0</v>
      </c>
      <c r="E40" t="b">
        <v>1</v>
      </c>
      <c r="F40" s="44">
        <v>1</v>
      </c>
      <c r="G40" s="71">
        <f t="shared" si="1"/>
        <v>7.4260000000000007E-2</v>
      </c>
      <c r="H40" s="44"/>
      <c r="I40" s="44" t="s">
        <v>67</v>
      </c>
      <c r="J40" s="45" t="b">
        <v>1</v>
      </c>
      <c r="K40" s="45" t="b">
        <v>1</v>
      </c>
      <c r="L40" t="b">
        <v>0</v>
      </c>
      <c r="M40" t="s">
        <v>102</v>
      </c>
      <c r="N40" t="b">
        <v>0</v>
      </c>
      <c r="O40" s="46" t="s">
        <v>116</v>
      </c>
    </row>
    <row r="41" spans="1:15" x14ac:dyDescent="0.25">
      <c r="A41" s="46" t="s">
        <v>91</v>
      </c>
      <c r="B41" t="b">
        <v>0</v>
      </c>
      <c r="C41" t="b">
        <v>1</v>
      </c>
      <c r="D41" t="b">
        <v>1</v>
      </c>
      <c r="E41" t="b">
        <v>0</v>
      </c>
      <c r="F41" s="44">
        <v>8</v>
      </c>
      <c r="G41" s="71">
        <f t="shared" si="1"/>
        <v>0.59408000000000005</v>
      </c>
      <c r="H41" s="44"/>
      <c r="I41" s="44" t="s">
        <v>67</v>
      </c>
      <c r="J41" s="45" t="b">
        <v>1</v>
      </c>
      <c r="K41" s="45" t="b">
        <v>1</v>
      </c>
      <c r="L41" t="b">
        <v>0</v>
      </c>
      <c r="M41" t="s">
        <v>102</v>
      </c>
      <c r="N41" t="b">
        <v>0</v>
      </c>
      <c r="O41" s="46" t="s">
        <v>113</v>
      </c>
    </row>
    <row r="42" spans="1:15" x14ac:dyDescent="0.25">
      <c r="A42" s="46" t="s">
        <v>92</v>
      </c>
      <c r="B42" t="b">
        <v>0</v>
      </c>
      <c r="C42" t="b">
        <v>1</v>
      </c>
      <c r="D42" t="b">
        <v>0</v>
      </c>
      <c r="E42" t="b">
        <v>0</v>
      </c>
      <c r="F42" s="44">
        <v>1</v>
      </c>
      <c r="G42" s="71">
        <f t="shared" si="1"/>
        <v>7.4260000000000007E-2</v>
      </c>
      <c r="H42" s="44"/>
      <c r="I42" s="44" t="s">
        <v>67</v>
      </c>
      <c r="J42" s="45" t="b">
        <v>1</v>
      </c>
      <c r="K42" s="45" t="b">
        <v>1</v>
      </c>
      <c r="L42" t="b">
        <v>0</v>
      </c>
      <c r="M42" t="s">
        <v>102</v>
      </c>
      <c r="N42" t="b">
        <v>0</v>
      </c>
      <c r="O42" s="46" t="s">
        <v>111</v>
      </c>
    </row>
    <row r="43" spans="1:15" x14ac:dyDescent="0.25">
      <c r="A43" s="46" t="s">
        <v>93</v>
      </c>
      <c r="B43" t="b">
        <v>1</v>
      </c>
      <c r="C43" t="b">
        <v>0</v>
      </c>
      <c r="D43" t="b">
        <v>0</v>
      </c>
      <c r="E43" t="b">
        <v>1</v>
      </c>
      <c r="F43" s="44">
        <v>1</v>
      </c>
      <c r="G43" s="71">
        <f t="shared" si="1"/>
        <v>7.4260000000000007E-2</v>
      </c>
      <c r="H43" s="44"/>
      <c r="I43" s="44" t="s">
        <v>67</v>
      </c>
      <c r="J43" s="45" t="b">
        <v>1</v>
      </c>
      <c r="K43" s="45" t="b">
        <v>1</v>
      </c>
      <c r="L43" t="b">
        <v>0</v>
      </c>
      <c r="M43" t="s">
        <v>102</v>
      </c>
      <c r="N43" t="b">
        <v>0</v>
      </c>
      <c r="O43" s="46" t="s">
        <v>116</v>
      </c>
    </row>
    <row r="44" spans="1:15" x14ac:dyDescent="0.25">
      <c r="A44" s="46" t="s">
        <v>122</v>
      </c>
      <c r="B44" t="b">
        <v>0</v>
      </c>
      <c r="C44" t="b">
        <v>0</v>
      </c>
      <c r="D44" t="b">
        <v>0</v>
      </c>
      <c r="E44" t="b">
        <v>0</v>
      </c>
      <c r="F44" s="44">
        <v>1</v>
      </c>
      <c r="G44" s="71">
        <f t="shared" si="1"/>
        <v>7.4260000000000007E-2</v>
      </c>
      <c r="H44" s="44"/>
      <c r="I44" s="44" t="s">
        <v>67</v>
      </c>
      <c r="J44" s="45" t="b">
        <v>0</v>
      </c>
      <c r="K44" s="45" t="b">
        <v>0</v>
      </c>
      <c r="L44" t="b">
        <v>0</v>
      </c>
      <c r="M44" t="s">
        <v>102</v>
      </c>
      <c r="N44" t="b">
        <v>0</v>
      </c>
      <c r="O44" s="46" t="s">
        <v>105</v>
      </c>
    </row>
    <row r="45" spans="1:15" x14ac:dyDescent="0.25">
      <c r="A45" s="46" t="s">
        <v>94</v>
      </c>
      <c r="B45" t="b">
        <v>0</v>
      </c>
      <c r="C45" t="b">
        <v>1</v>
      </c>
      <c r="D45" t="b">
        <v>0</v>
      </c>
      <c r="E45" t="b">
        <v>0</v>
      </c>
      <c r="F45" s="44">
        <v>1</v>
      </c>
      <c r="G45" s="71">
        <f t="shared" si="1"/>
        <v>7.4260000000000007E-2</v>
      </c>
      <c r="H45" s="44"/>
      <c r="I45" s="44" t="s">
        <v>67</v>
      </c>
      <c r="J45" s="45" t="b">
        <v>1</v>
      </c>
      <c r="K45" s="45" t="b">
        <v>1</v>
      </c>
      <c r="L45" t="b">
        <v>0</v>
      </c>
      <c r="M45" t="s">
        <v>102</v>
      </c>
      <c r="N45" t="b">
        <v>0</v>
      </c>
      <c r="O45" s="46" t="s">
        <v>111</v>
      </c>
    </row>
    <row r="46" spans="1:15" x14ac:dyDescent="0.25">
      <c r="A46" s="46" t="s">
        <v>95</v>
      </c>
      <c r="B46" t="b">
        <v>1</v>
      </c>
      <c r="C46" t="b">
        <v>0</v>
      </c>
      <c r="D46" t="b">
        <v>0</v>
      </c>
      <c r="E46" t="b">
        <v>1</v>
      </c>
      <c r="F46" s="44">
        <v>1</v>
      </c>
      <c r="G46" s="71">
        <f t="shared" si="1"/>
        <v>7.4260000000000007E-2</v>
      </c>
      <c r="H46" s="44"/>
      <c r="I46" s="44" t="s">
        <v>67</v>
      </c>
      <c r="J46" s="45" t="b">
        <v>1</v>
      </c>
      <c r="K46" s="45" t="b">
        <v>1</v>
      </c>
      <c r="L46" t="b">
        <v>0</v>
      </c>
      <c r="M46" t="s">
        <v>102</v>
      </c>
      <c r="N46" t="b">
        <v>0</v>
      </c>
      <c r="O46" s="46" t="s">
        <v>116</v>
      </c>
    </row>
    <row r="47" spans="1:15" x14ac:dyDescent="0.25">
      <c r="A47" s="46" t="s">
        <v>96</v>
      </c>
      <c r="B47" t="b">
        <v>1</v>
      </c>
      <c r="C47" t="b">
        <v>0</v>
      </c>
      <c r="D47" t="b">
        <v>0</v>
      </c>
      <c r="E47" t="b">
        <v>1</v>
      </c>
      <c r="F47" s="44">
        <v>1</v>
      </c>
      <c r="G47" s="71">
        <f t="shared" si="1"/>
        <v>7.4260000000000007E-2</v>
      </c>
      <c r="H47" s="44"/>
      <c r="I47" s="44" t="s">
        <v>67</v>
      </c>
      <c r="J47" s="45" t="b">
        <v>1</v>
      </c>
      <c r="K47" s="45" t="b">
        <v>1</v>
      </c>
      <c r="L47" t="b">
        <v>0</v>
      </c>
      <c r="M47" t="s">
        <v>102</v>
      </c>
      <c r="N47" t="b">
        <v>0</v>
      </c>
      <c r="O47" s="46" t="s">
        <v>116</v>
      </c>
    </row>
    <row r="48" spans="1:15" x14ac:dyDescent="0.25">
      <c r="A48" s="46" t="s">
        <v>97</v>
      </c>
      <c r="B48" t="b">
        <v>1</v>
      </c>
      <c r="C48" t="b">
        <v>0</v>
      </c>
      <c r="D48" t="b">
        <v>0</v>
      </c>
      <c r="E48" t="b">
        <v>1</v>
      </c>
      <c r="F48" s="44">
        <v>1</v>
      </c>
      <c r="G48" s="71">
        <f t="shared" si="1"/>
        <v>7.4260000000000007E-2</v>
      </c>
      <c r="H48" s="44"/>
      <c r="I48" s="44" t="s">
        <v>67</v>
      </c>
      <c r="J48" s="45" t="b">
        <v>1</v>
      </c>
      <c r="K48" s="45" t="b">
        <v>1</v>
      </c>
      <c r="L48" t="b">
        <v>0</v>
      </c>
      <c r="M48" t="s">
        <v>102</v>
      </c>
      <c r="N48" t="b">
        <v>0</v>
      </c>
      <c r="O48" s="46" t="s">
        <v>116</v>
      </c>
    </row>
    <row r="49" spans="1:15" x14ac:dyDescent="0.25">
      <c r="A49" s="46" t="s">
        <v>123</v>
      </c>
      <c r="B49" t="b">
        <v>0</v>
      </c>
      <c r="C49" t="b">
        <v>0</v>
      </c>
      <c r="D49" t="b">
        <v>0</v>
      </c>
      <c r="E49" t="b">
        <v>0</v>
      </c>
      <c r="F49" s="44">
        <v>1</v>
      </c>
      <c r="G49" s="71">
        <f t="shared" si="1"/>
        <v>7.4260000000000007E-2</v>
      </c>
      <c r="H49" s="44"/>
      <c r="I49" s="44" t="s">
        <v>67</v>
      </c>
      <c r="J49" s="45" t="b">
        <v>0</v>
      </c>
      <c r="K49" s="45" t="b">
        <v>0</v>
      </c>
      <c r="L49" t="b">
        <v>0</v>
      </c>
      <c r="M49" t="s">
        <v>102</v>
      </c>
      <c r="N49" t="b">
        <v>0</v>
      </c>
      <c r="O49" s="46" t="s">
        <v>105</v>
      </c>
    </row>
    <row r="50" spans="1:15" x14ac:dyDescent="0.25">
      <c r="A50" s="46" t="s">
        <v>98</v>
      </c>
      <c r="B50" t="b">
        <v>1</v>
      </c>
      <c r="C50" t="b">
        <v>0</v>
      </c>
      <c r="D50" t="b">
        <v>0</v>
      </c>
      <c r="E50" t="b">
        <v>1</v>
      </c>
      <c r="F50" s="44">
        <v>1</v>
      </c>
      <c r="G50" s="71">
        <f t="shared" si="1"/>
        <v>7.4260000000000007E-2</v>
      </c>
      <c r="H50" s="44"/>
      <c r="I50" s="44" t="s">
        <v>67</v>
      </c>
      <c r="J50" s="45" t="b">
        <v>1</v>
      </c>
      <c r="K50" s="45" t="b">
        <v>1</v>
      </c>
      <c r="L50" t="b">
        <v>0</v>
      </c>
      <c r="M50" t="s">
        <v>102</v>
      </c>
      <c r="N50" t="b">
        <v>0</v>
      </c>
      <c r="O50" s="46" t="s">
        <v>116</v>
      </c>
    </row>
    <row r="51" spans="1:15" x14ac:dyDescent="0.25">
      <c r="A51" s="46" t="s">
        <v>124</v>
      </c>
      <c r="B51" t="b">
        <v>0</v>
      </c>
      <c r="C51" t="b">
        <v>0</v>
      </c>
      <c r="D51" t="b">
        <v>0</v>
      </c>
      <c r="E51" t="b">
        <v>0</v>
      </c>
      <c r="F51" s="44">
        <v>1</v>
      </c>
      <c r="G51" s="71">
        <f t="shared" si="1"/>
        <v>7.4260000000000007E-2</v>
      </c>
      <c r="H51" s="44"/>
      <c r="I51" s="44" t="s">
        <v>67</v>
      </c>
      <c r="J51" s="45" t="b">
        <v>0</v>
      </c>
      <c r="K51" s="45" t="b">
        <v>0</v>
      </c>
      <c r="L51" t="b">
        <v>0</v>
      </c>
      <c r="M51" t="s">
        <v>102</v>
      </c>
      <c r="N51" t="b">
        <v>0</v>
      </c>
      <c r="O51" s="46" t="s">
        <v>105</v>
      </c>
    </row>
    <row r="52" spans="1:15" x14ac:dyDescent="0.25">
      <c r="A52" s="46" t="s">
        <v>99</v>
      </c>
      <c r="B52" t="b">
        <v>1</v>
      </c>
      <c r="C52" t="b">
        <v>0</v>
      </c>
      <c r="D52" t="b">
        <v>0</v>
      </c>
      <c r="E52" t="b">
        <v>1</v>
      </c>
      <c r="F52" s="44">
        <v>1</v>
      </c>
      <c r="G52" s="71">
        <f t="shared" si="1"/>
        <v>7.4260000000000007E-2</v>
      </c>
      <c r="H52" s="44"/>
      <c r="I52" s="44" t="s">
        <v>67</v>
      </c>
      <c r="J52" s="45" t="b">
        <v>1</v>
      </c>
      <c r="K52" s="45" t="b">
        <v>1</v>
      </c>
      <c r="L52" t="b">
        <v>0</v>
      </c>
      <c r="M52" t="s">
        <v>102</v>
      </c>
      <c r="N52" t="b">
        <v>0</v>
      </c>
      <c r="O52" s="46" t="s">
        <v>116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09B70-EC99-4577-8DAD-1EAB3E8052AF}">
  <dimension ref="A2:Q42"/>
  <sheetViews>
    <sheetView tabSelected="1" workbookViewId="0">
      <selection activeCell="B14" sqref="B14"/>
    </sheetView>
  </sheetViews>
  <sheetFormatPr baseColWidth="10" defaultRowHeight="13.2" x14ac:dyDescent="0.25"/>
  <cols>
    <col min="1" max="1" width="43.6640625" bestFit="1" customWidth="1"/>
    <col min="2" max="2" width="10" customWidth="1"/>
    <col min="3" max="3" width="13.109375" customWidth="1"/>
    <col min="7" max="7" width="8.77734375" customWidth="1"/>
    <col min="8" max="8" width="9.77734375" customWidth="1"/>
  </cols>
  <sheetData>
    <row r="2" spans="1:17" ht="36" customHeight="1" thickBot="1" x14ac:dyDescent="0.75">
      <c r="A2" s="54" t="s">
        <v>125</v>
      </c>
      <c r="B2" s="55"/>
      <c r="C2" s="55"/>
      <c r="D2" s="55"/>
      <c r="E2" s="55"/>
      <c r="F2" s="55"/>
      <c r="G2" s="55"/>
      <c r="H2" s="55"/>
      <c r="I2" s="55"/>
      <c r="J2" s="55"/>
      <c r="K2" s="65"/>
      <c r="L2" s="55"/>
      <c r="M2" s="55"/>
      <c r="N2" s="55"/>
      <c r="O2" s="55"/>
      <c r="P2" s="55"/>
      <c r="Q2" s="55"/>
    </row>
    <row r="3" spans="1:17" ht="21" customHeight="1" thickTop="1" x14ac:dyDescent="0.7">
      <c r="A3" s="50"/>
      <c r="B3" s="51"/>
      <c r="C3" s="51"/>
      <c r="D3" s="51"/>
      <c r="E3" s="51"/>
      <c r="F3" s="51"/>
      <c r="G3" s="51"/>
      <c r="H3" s="51"/>
      <c r="I3" s="51"/>
      <c r="J3" s="51"/>
      <c r="K3" s="52"/>
      <c r="L3" s="51"/>
      <c r="M3" s="51"/>
      <c r="N3" s="51"/>
      <c r="O3" s="51"/>
      <c r="P3" s="51"/>
      <c r="Q3" s="51"/>
    </row>
    <row r="4" spans="1:17" ht="28.2" customHeight="1" x14ac:dyDescent="0.25">
      <c r="A4" s="47" t="s">
        <v>72</v>
      </c>
      <c r="B4" s="47" t="s">
        <v>73</v>
      </c>
      <c r="C4" s="47" t="s">
        <v>74</v>
      </c>
      <c r="D4" s="48" t="s">
        <v>75</v>
      </c>
      <c r="E4" s="47" t="s">
        <v>76</v>
      </c>
      <c r="F4" s="47" t="s">
        <v>126</v>
      </c>
      <c r="G4" s="47" t="s">
        <v>129</v>
      </c>
      <c r="H4" s="47" t="s">
        <v>77</v>
      </c>
    </row>
    <row r="5" spans="1:17" x14ac:dyDescent="0.25">
      <c r="A5" s="40" t="s">
        <v>66</v>
      </c>
      <c r="B5" s="73">
        <v>192</v>
      </c>
      <c r="C5" s="49">
        <f>(Tarifario!D$10/'Costos produccion'!B5)</f>
        <v>3.994650607638889</v>
      </c>
      <c r="D5" s="49">
        <f>(VLOOKUP(A5,Tabla1[[Descripción]:[Costo etiqueta]],7,FALSE)*B5)+0.7*B5</f>
        <v>319.75295999999997</v>
      </c>
      <c r="E5" s="49">
        <f>D5*0.05</f>
        <v>15.987648</v>
      </c>
      <c r="F5" s="49">
        <f>'Equipo y maquinaria'!H$1/(B5*6*24.5)</f>
        <v>0.81118905895691606</v>
      </c>
      <c r="G5" s="49">
        <f>(C5*B5)+D5+E5+F5</f>
        <v>1103.5247137256235</v>
      </c>
      <c r="H5" s="49">
        <f>G5/B5</f>
        <v>5.7475245506542896</v>
      </c>
    </row>
    <row r="6" spans="1:17" x14ac:dyDescent="0.25">
      <c r="A6" s="40" t="s">
        <v>68</v>
      </c>
      <c r="B6" s="73">
        <v>192</v>
      </c>
      <c r="C6" s="49">
        <f>(Tarifario!D$10/'Costos produccion'!B6)</f>
        <v>3.994650607638889</v>
      </c>
      <c r="D6" s="49">
        <f>(VLOOKUP(A6,Tabla1[[Descripción]:[Costo etiqueta]],7,FALSE)*B6)+0.7*B6</f>
        <v>319.75295999999997</v>
      </c>
      <c r="E6" s="49">
        <f t="shared" ref="E6:E42" si="0">D6*0.05</f>
        <v>15.987648</v>
      </c>
      <c r="F6" s="49">
        <f>'Equipo y maquinaria'!H$1/(B6*6*24.5)</f>
        <v>0.81118905895691606</v>
      </c>
      <c r="G6" s="49">
        <f t="shared" ref="G6:G42" si="1">(C6*B6)+D6+E6+F6</f>
        <v>1103.5247137256235</v>
      </c>
      <c r="H6" s="49">
        <f t="shared" ref="H6:H42" si="2">G6/B6</f>
        <v>5.7475245506542896</v>
      </c>
    </row>
    <row r="7" spans="1:17" x14ac:dyDescent="0.25">
      <c r="A7" s="40" t="s">
        <v>69</v>
      </c>
      <c r="B7" s="73">
        <v>140</v>
      </c>
      <c r="C7" s="49">
        <f>(Tarifario!D$10/'Costos produccion'!B7)</f>
        <v>5.478377976190477</v>
      </c>
      <c r="D7" s="49">
        <f>(VLOOKUP(A7,Tabla1[[Descripción]:[Costo etiqueta]],7,FALSE)*B7)+0.7*B7</f>
        <v>108.3964</v>
      </c>
      <c r="E7" s="49">
        <f t="shared" si="0"/>
        <v>5.4198200000000005</v>
      </c>
      <c r="F7" s="49">
        <f>'Equipo y maquinaria'!H$1/(B7*6*24.5)</f>
        <v>1.1124878522837707</v>
      </c>
      <c r="G7" s="49">
        <f t="shared" si="1"/>
        <v>881.90162451895037</v>
      </c>
      <c r="H7" s="49">
        <f t="shared" si="2"/>
        <v>6.2992973179925027</v>
      </c>
    </row>
    <row r="8" spans="1:17" x14ac:dyDescent="0.25">
      <c r="A8" s="40" t="s">
        <v>78</v>
      </c>
      <c r="B8" s="73">
        <v>140</v>
      </c>
      <c r="C8" s="49">
        <f>(Tarifario!D$10/'Costos produccion'!B8)</f>
        <v>5.478377976190477</v>
      </c>
      <c r="D8" s="49">
        <f>(VLOOKUP(A8,Tabla1[[Descripción]:[Costo etiqueta]],7,FALSE)*B8)+0.7*B8</f>
        <v>108.3964</v>
      </c>
      <c r="E8" s="49">
        <f t="shared" si="0"/>
        <v>5.4198200000000005</v>
      </c>
      <c r="F8" s="49">
        <f>'Equipo y maquinaria'!H$1/(B8*6*24.5)</f>
        <v>1.1124878522837707</v>
      </c>
      <c r="G8" s="49">
        <f t="shared" si="1"/>
        <v>881.90162451895037</v>
      </c>
      <c r="H8" s="49">
        <f t="shared" si="2"/>
        <v>6.2992973179925027</v>
      </c>
    </row>
    <row r="9" spans="1:17" x14ac:dyDescent="0.25">
      <c r="A9" s="40" t="s">
        <v>79</v>
      </c>
      <c r="B9" s="42">
        <v>3894</v>
      </c>
      <c r="C9" s="49">
        <f>(Tarifario!D$10/'Costos produccion'!B9)</f>
        <v>0.19696274182502999</v>
      </c>
      <c r="D9" s="49">
        <f>(VLOOKUP(A9,Tabla1[[Descripción]:[Costo etiqueta]],7,FALSE)*B9)+0.7*B9</f>
        <v>3593.3053199999995</v>
      </c>
      <c r="E9" s="49">
        <f t="shared" si="0"/>
        <v>179.66526599999997</v>
      </c>
      <c r="F9" s="49">
        <f>'Equipo y maquinaria'!H$1/(B9*6*24.5)</f>
        <v>3.9996995202806342E-2</v>
      </c>
      <c r="G9" s="49">
        <f t="shared" si="1"/>
        <v>4539.9834996618692</v>
      </c>
      <c r="H9" s="49">
        <f t="shared" si="2"/>
        <v>1.1658920132670441</v>
      </c>
    </row>
    <row r="10" spans="1:17" x14ac:dyDescent="0.25">
      <c r="A10" s="40" t="s">
        <v>80</v>
      </c>
      <c r="B10" s="42">
        <v>1833</v>
      </c>
      <c r="C10" s="49">
        <f>(Tarifario!D$10/'Costos produccion'!B10)</f>
        <v>0.4184249408983452</v>
      </c>
      <c r="D10" s="49">
        <f>(VLOOKUP(A10,Tabla1[[Descripción]:[Costo etiqueta]],7,FALSE)*B10)+0.7*B10</f>
        <v>1963.6929</v>
      </c>
      <c r="E10" s="49">
        <f t="shared" si="0"/>
        <v>98.184645000000003</v>
      </c>
      <c r="F10" s="49">
        <f>'Equipo y maquinaria'!H$1/(B10*6*24.5)</f>
        <v>8.4969066731984663E-2</v>
      </c>
      <c r="G10" s="49">
        <f t="shared" si="1"/>
        <v>2828.9354307333983</v>
      </c>
      <c r="H10" s="49">
        <f t="shared" si="2"/>
        <v>1.5433362960902337</v>
      </c>
    </row>
    <row r="11" spans="1:17" x14ac:dyDescent="0.25">
      <c r="A11" s="40" t="s">
        <v>81</v>
      </c>
      <c r="B11" s="41">
        <v>379</v>
      </c>
      <c r="C11" s="49">
        <f>(Tarifario!D$10/'Costos produccion'!B11)</f>
        <v>2.0236752418645558</v>
      </c>
      <c r="D11" s="49">
        <f>(VLOOKUP(A11,Tabla1[[Descripción]:[Costo etiqueta]],7,FALSE)*B11)+0.7*B11</f>
        <v>800.04625999999985</v>
      </c>
      <c r="E11" s="49">
        <f t="shared" si="0"/>
        <v>40.002312999999994</v>
      </c>
      <c r="F11" s="49">
        <f>'Equipo y maquinaria'!H$1/(B11*6*24.5)</f>
        <v>0.41094538079083875</v>
      </c>
      <c r="G11" s="49">
        <f t="shared" si="1"/>
        <v>1607.4324350474571</v>
      </c>
      <c r="H11" s="49">
        <f t="shared" si="2"/>
        <v>4.2412465304682243</v>
      </c>
    </row>
    <row r="12" spans="1:17" x14ac:dyDescent="0.25">
      <c r="A12" s="40" t="s">
        <v>82</v>
      </c>
      <c r="B12" s="41">
        <v>364</v>
      </c>
      <c r="C12" s="49">
        <f>(Tarifario!D$10/'Costos produccion'!B12)</f>
        <v>2.1070684523809526</v>
      </c>
      <c r="D12" s="49">
        <f>(VLOOKUP(A12,Tabla1[[Descripción]:[Costo etiqueta]],7,FALSE)*B12)+0.7*B12</f>
        <v>281.83063999999996</v>
      </c>
      <c r="E12" s="49">
        <f t="shared" si="0"/>
        <v>14.091531999999999</v>
      </c>
      <c r="F12" s="49">
        <f>'Equipo y maquinaria'!H$1/(B12*6*24.5)</f>
        <v>0.42787994318606565</v>
      </c>
      <c r="G12" s="49">
        <f t="shared" si="1"/>
        <v>1063.3229686098528</v>
      </c>
      <c r="H12" s="49">
        <f t="shared" si="2"/>
        <v>2.9212169467303646</v>
      </c>
    </row>
    <row r="13" spans="1:17" x14ac:dyDescent="0.25">
      <c r="A13" s="40" t="s">
        <v>83</v>
      </c>
      <c r="B13" s="42">
        <v>1635</v>
      </c>
      <c r="C13" s="49">
        <f>(Tarifario!D$10/'Costos produccion'!B13)</f>
        <v>0.46909658511722735</v>
      </c>
      <c r="D13" s="49">
        <f>(VLOOKUP(A13,Tabla1[[Descripción]:[Costo etiqueta]],7,FALSE)*B13)+0.7*B13</f>
        <v>1630.1604</v>
      </c>
      <c r="E13" s="49">
        <f t="shared" si="0"/>
        <v>81.508020000000002</v>
      </c>
      <c r="F13" s="49">
        <f>'Equipo y maquinaria'!H$1/(B13*6*24.5)</f>
        <v>9.5258898666500239E-2</v>
      </c>
      <c r="G13" s="49">
        <f t="shared" si="1"/>
        <v>2478.7365955653336</v>
      </c>
      <c r="H13" s="49">
        <f t="shared" si="2"/>
        <v>1.5160468474405711</v>
      </c>
    </row>
    <row r="14" spans="1:17" x14ac:dyDescent="0.25">
      <c r="A14" s="40" t="s">
        <v>84</v>
      </c>
      <c r="B14" s="73">
        <v>155</v>
      </c>
      <c r="C14" s="49">
        <f>(Tarifario!D$10/'Costos produccion'!B14)</f>
        <v>4.9482123655913979</v>
      </c>
      <c r="D14" s="49">
        <f>(VLOOKUP(A14,Tabla1[[Descripción]:[Costo etiqueta]],7,FALSE)*B14)+0.7*B14</f>
        <v>327.19569999999999</v>
      </c>
      <c r="E14" s="49">
        <f t="shared" si="0"/>
        <v>16.359784999999999</v>
      </c>
      <c r="F14" s="49">
        <f>'Equipo y maquinaria'!H$1/(B14*6*24.5)</f>
        <v>1.0048277375466315</v>
      </c>
      <c r="G14" s="49">
        <f t="shared" si="1"/>
        <v>1111.5332294042134</v>
      </c>
      <c r="H14" s="49">
        <f t="shared" si="2"/>
        <v>7.1711821251884738</v>
      </c>
    </row>
    <row r="15" spans="1:17" x14ac:dyDescent="0.25">
      <c r="A15" s="40" t="s">
        <v>85</v>
      </c>
      <c r="B15" s="41">
        <v>296</v>
      </c>
      <c r="C15" s="49">
        <f>(Tarifario!D$10/'Costos produccion'!B15)</f>
        <v>2.5911247184684685</v>
      </c>
      <c r="D15" s="49">
        <f>(VLOOKUP(A15,Tabla1[[Descripción]:[Costo etiqueta]],7,FALSE)*B15)+0.7*B15</f>
        <v>229.18096</v>
      </c>
      <c r="E15" s="49">
        <f t="shared" si="0"/>
        <v>11.459048000000001</v>
      </c>
      <c r="F15" s="49">
        <f>'Equipo y maquinaria'!H$1/(B15*6*24.5)</f>
        <v>0.52617668689097263</v>
      </c>
      <c r="G15" s="49">
        <f t="shared" si="1"/>
        <v>1008.1391013535577</v>
      </c>
      <c r="H15" s="49">
        <f t="shared" si="2"/>
        <v>3.4058753424106682</v>
      </c>
    </row>
    <row r="16" spans="1:17" x14ac:dyDescent="0.25">
      <c r="A16" s="40" t="s">
        <v>86</v>
      </c>
      <c r="B16" s="41">
        <v>167</v>
      </c>
      <c r="C16" s="49">
        <f>(Tarifario!D$10/'Costos produccion'!B16)</f>
        <v>4.5926521956087827</v>
      </c>
      <c r="D16" s="49">
        <f>(VLOOKUP(A16,Tabla1[[Descripción]:[Costo etiqueta]],7,FALSE)*B16)+0.7*B16</f>
        <v>154.10425999999998</v>
      </c>
      <c r="E16" s="49">
        <f t="shared" si="0"/>
        <v>7.7052129999999996</v>
      </c>
      <c r="F16" s="49">
        <f>'Equipo y maquinaria'!H$1/(B16*6*24.5)</f>
        <v>0.93262454682471796</v>
      </c>
      <c r="G16" s="49">
        <f t="shared" si="1"/>
        <v>929.71501421349137</v>
      </c>
      <c r="H16" s="49">
        <f t="shared" si="2"/>
        <v>5.5671557737334814</v>
      </c>
    </row>
    <row r="17" spans="1:8" x14ac:dyDescent="0.25">
      <c r="A17" s="40" t="s">
        <v>87</v>
      </c>
      <c r="B17" s="41">
        <v>317</v>
      </c>
      <c r="C17" s="49">
        <f>(Tarifario!D$10/'Costos produccion'!B17)</f>
        <v>2.4194729232386964</v>
      </c>
      <c r="D17" s="49">
        <f>(VLOOKUP(A17,Tabla1[[Descripción]:[Costo etiqueta]],7,FALSE)*B17)+0.7*B17</f>
        <v>527.92545999999993</v>
      </c>
      <c r="E17" s="49">
        <f t="shared" si="0"/>
        <v>26.396272999999997</v>
      </c>
      <c r="F17" s="49">
        <f>'Equipo y maquinaria'!H$1/(B17*6*24.5)</f>
        <v>0.49131955621365264</v>
      </c>
      <c r="G17" s="49">
        <f t="shared" si="1"/>
        <v>1321.7859692228803</v>
      </c>
      <c r="H17" s="49">
        <f t="shared" si="2"/>
        <v>4.1696718272015154</v>
      </c>
    </row>
    <row r="18" spans="1:8" x14ac:dyDescent="0.25">
      <c r="A18" s="40" t="s">
        <v>88</v>
      </c>
      <c r="B18" s="41">
        <v>277</v>
      </c>
      <c r="C18" s="49">
        <f>(Tarifario!D$10/'Costos produccion'!B18)</f>
        <v>2.7688552948255114</v>
      </c>
      <c r="D18" s="49">
        <f>(VLOOKUP(A18,Tabla1[[Descripción]:[Costo etiqueta]],7,FALSE)*B18)+0.7*B18</f>
        <v>214.47001999999998</v>
      </c>
      <c r="E18" s="49">
        <f t="shared" si="0"/>
        <v>10.723500999999999</v>
      </c>
      <c r="F18" s="49">
        <f>'Equipo y maquinaria'!H$1/(B18*6*24.5)</f>
        <v>0.56226822859107539</v>
      </c>
      <c r="G18" s="49">
        <f t="shared" si="1"/>
        <v>992.72870589525758</v>
      </c>
      <c r="H18" s="49">
        <f t="shared" si="2"/>
        <v>3.5838581440262005</v>
      </c>
    </row>
    <row r="19" spans="1:8" x14ac:dyDescent="0.25">
      <c r="A19" s="40" t="s">
        <v>83</v>
      </c>
      <c r="B19" s="72">
        <v>200</v>
      </c>
      <c r="C19" s="49">
        <f>(Tarifario!D$10/'Costos produccion'!B19)</f>
        <v>3.8348645833333337</v>
      </c>
      <c r="D19" s="49">
        <f>(VLOOKUP(A19,Tabla1[[Descripción]:[Costo etiqueta]],7,FALSE)*B19)+0.7*B19</f>
        <v>199.40800000000002</v>
      </c>
      <c r="E19" s="49">
        <f t="shared" si="0"/>
        <v>9.9704000000000015</v>
      </c>
      <c r="F19" s="49">
        <f>'Equipo y maquinaria'!H$1/(B19*6*24.5)</f>
        <v>0.77874149659863945</v>
      </c>
      <c r="G19" s="49">
        <f t="shared" si="1"/>
        <v>977.1300581632654</v>
      </c>
      <c r="H19" s="49">
        <f t="shared" si="2"/>
        <v>4.8856502908163266</v>
      </c>
    </row>
    <row r="20" spans="1:8" x14ac:dyDescent="0.25">
      <c r="A20" s="40" t="s">
        <v>87</v>
      </c>
      <c r="B20" s="73">
        <v>192</v>
      </c>
      <c r="C20" s="49">
        <f>(Tarifario!D$10/'Costos produccion'!B20)</f>
        <v>3.994650607638889</v>
      </c>
      <c r="D20" s="49">
        <f>(VLOOKUP(A20,Tabla1[[Descripción]:[Costo etiqueta]],7,FALSE)*B20)+0.7*B20</f>
        <v>319.75295999999997</v>
      </c>
      <c r="E20" s="49">
        <f t="shared" si="0"/>
        <v>15.987648</v>
      </c>
      <c r="F20" s="49">
        <f>'Equipo y maquinaria'!H$1/(B20*6*24.5)</f>
        <v>0.81118905895691606</v>
      </c>
      <c r="G20" s="49">
        <f t="shared" si="1"/>
        <v>1103.5247137256235</v>
      </c>
      <c r="H20" s="49">
        <f t="shared" si="2"/>
        <v>5.7475245506542896</v>
      </c>
    </row>
    <row r="21" spans="1:8" x14ac:dyDescent="0.25">
      <c r="A21" s="40" t="s">
        <v>82</v>
      </c>
      <c r="B21" s="41">
        <v>364</v>
      </c>
      <c r="C21" s="49">
        <f>(Tarifario!D$10/'Costos produccion'!B21)</f>
        <v>2.1070684523809526</v>
      </c>
      <c r="D21" s="49">
        <f>(VLOOKUP(A21,Tabla1[[Descripción]:[Costo etiqueta]],7,FALSE)*B21)+0.7*B21</f>
        <v>281.83063999999996</v>
      </c>
      <c r="E21" s="49">
        <f t="shared" si="0"/>
        <v>14.091531999999999</v>
      </c>
      <c r="F21" s="49">
        <f>'Equipo y maquinaria'!H$1/(B21*6*24.5)</f>
        <v>0.42787994318606565</v>
      </c>
      <c r="G21" s="49">
        <f t="shared" si="1"/>
        <v>1063.3229686098528</v>
      </c>
      <c r="H21" s="49">
        <f t="shared" si="2"/>
        <v>2.9212169467303646</v>
      </c>
    </row>
    <row r="22" spans="1:8" x14ac:dyDescent="0.25">
      <c r="A22" s="40" t="s">
        <v>88</v>
      </c>
      <c r="B22" s="41">
        <v>277</v>
      </c>
      <c r="C22" s="49">
        <f>(Tarifario!D$10/'Costos produccion'!B22)</f>
        <v>2.7688552948255114</v>
      </c>
      <c r="D22" s="49">
        <f>(VLOOKUP(A22,Tabla1[[Descripción]:[Costo etiqueta]],7,FALSE)*B22)+0.7*B22</f>
        <v>214.47001999999998</v>
      </c>
      <c r="E22" s="49">
        <f t="shared" si="0"/>
        <v>10.723500999999999</v>
      </c>
      <c r="F22" s="49">
        <f>'Equipo y maquinaria'!H$1/(B22*6*24.5)</f>
        <v>0.56226822859107539</v>
      </c>
      <c r="G22" s="49">
        <f t="shared" si="1"/>
        <v>992.72870589525758</v>
      </c>
      <c r="H22" s="49">
        <f t="shared" si="2"/>
        <v>3.5838581440262005</v>
      </c>
    </row>
    <row r="23" spans="1:8" x14ac:dyDescent="0.25">
      <c r="A23" s="40" t="s">
        <v>89</v>
      </c>
      <c r="B23" s="73">
        <v>140</v>
      </c>
      <c r="C23" s="49">
        <f>(Tarifario!D$10/'Costos produccion'!B23)</f>
        <v>5.478377976190477</v>
      </c>
      <c r="D23" s="49">
        <f>(VLOOKUP(A23,Tabla1[[Descripción]:[Costo etiqueta]],7,FALSE)*B23)+0.7*B23</f>
        <v>108.3964</v>
      </c>
      <c r="E23" s="49">
        <f t="shared" si="0"/>
        <v>5.4198200000000005</v>
      </c>
      <c r="F23" s="49">
        <f>'Equipo y maquinaria'!H$1/(B23*6*24.5)</f>
        <v>1.1124878522837707</v>
      </c>
      <c r="G23" s="49">
        <f t="shared" si="1"/>
        <v>881.90162451895037</v>
      </c>
      <c r="H23" s="49">
        <f t="shared" si="2"/>
        <v>6.2992973179925027</v>
      </c>
    </row>
    <row r="24" spans="1:8" x14ac:dyDescent="0.25">
      <c r="A24" s="40" t="s">
        <v>69</v>
      </c>
      <c r="B24" s="73">
        <v>140</v>
      </c>
      <c r="C24" s="49">
        <f>(Tarifario!D$10/'Costos produccion'!B24)</f>
        <v>5.478377976190477</v>
      </c>
      <c r="D24" s="49">
        <f>(VLOOKUP(A24,Tabla1[[Descripción]:[Costo etiqueta]],7,FALSE)*B24)+0.7*B24</f>
        <v>108.3964</v>
      </c>
      <c r="E24" s="49">
        <f t="shared" si="0"/>
        <v>5.4198200000000005</v>
      </c>
      <c r="F24" s="49">
        <f>'Equipo y maquinaria'!H$1/(B24*6*24.5)</f>
        <v>1.1124878522837707</v>
      </c>
      <c r="G24" s="49">
        <f t="shared" si="1"/>
        <v>881.90162451895037</v>
      </c>
      <c r="H24" s="49">
        <f t="shared" si="2"/>
        <v>6.2992973179925027</v>
      </c>
    </row>
    <row r="25" spans="1:8" x14ac:dyDescent="0.25">
      <c r="A25" s="40" t="s">
        <v>78</v>
      </c>
      <c r="B25" s="73">
        <v>140</v>
      </c>
      <c r="C25" s="49">
        <f>(Tarifario!D$10/'Costos produccion'!B25)</f>
        <v>5.478377976190477</v>
      </c>
      <c r="D25" s="49">
        <f>(VLOOKUP(A25,Tabla1[[Descripción]:[Costo etiqueta]],7,FALSE)*B25)+0.7*B25</f>
        <v>108.3964</v>
      </c>
      <c r="E25" s="49">
        <f t="shared" si="0"/>
        <v>5.4198200000000005</v>
      </c>
      <c r="F25" s="49">
        <f>'Equipo y maquinaria'!H$1/(B25*6*24.5)</f>
        <v>1.1124878522837707</v>
      </c>
      <c r="G25" s="49">
        <f t="shared" si="1"/>
        <v>881.90162451895037</v>
      </c>
      <c r="H25" s="49">
        <f t="shared" si="2"/>
        <v>6.2992973179925027</v>
      </c>
    </row>
    <row r="26" spans="1:8" x14ac:dyDescent="0.25">
      <c r="A26" s="40" t="s">
        <v>79</v>
      </c>
      <c r="B26" s="42">
        <v>3894</v>
      </c>
      <c r="C26" s="49">
        <f>(Tarifario!D$10/'Costos produccion'!B26)</f>
        <v>0.19696274182502999</v>
      </c>
      <c r="D26" s="49">
        <f>(VLOOKUP(A26,Tabla1[[Descripción]:[Costo etiqueta]],7,FALSE)*B26)+0.7*B26</f>
        <v>3593.3053199999995</v>
      </c>
      <c r="E26" s="49">
        <f t="shared" si="0"/>
        <v>179.66526599999997</v>
      </c>
      <c r="F26" s="49">
        <f>'Equipo y maquinaria'!H$1/(B26*6*24.5)</f>
        <v>3.9996995202806342E-2</v>
      </c>
      <c r="G26" s="49">
        <f t="shared" si="1"/>
        <v>4539.9834996618692</v>
      </c>
      <c r="H26" s="49">
        <f t="shared" si="2"/>
        <v>1.1658920132670441</v>
      </c>
    </row>
    <row r="27" spans="1:8" x14ac:dyDescent="0.25">
      <c r="A27" s="40" t="s">
        <v>90</v>
      </c>
      <c r="B27" s="41">
        <v>427</v>
      </c>
      <c r="C27" s="49">
        <f>(Tarifario!D$10/'Costos produccion'!B27)</f>
        <v>1.7961895003903201</v>
      </c>
      <c r="D27" s="49">
        <f>(VLOOKUP(A27,Tabla1[[Descripción]:[Costo etiqueta]],7,FALSE)*B27)+0.7*B27</f>
        <v>584.28117999999995</v>
      </c>
      <c r="E27" s="49">
        <f t="shared" si="0"/>
        <v>29.214058999999999</v>
      </c>
      <c r="F27" s="49">
        <f>'Equipo y maquinaria'!H$1/(B27*6*24.5)</f>
        <v>0.36475011550287562</v>
      </c>
      <c r="G27" s="49">
        <f t="shared" si="1"/>
        <v>1380.8329057821693</v>
      </c>
      <c r="H27" s="49">
        <f t="shared" si="2"/>
        <v>3.2338007161174924</v>
      </c>
    </row>
    <row r="28" spans="1:8" x14ac:dyDescent="0.25">
      <c r="A28" s="40" t="s">
        <v>83</v>
      </c>
      <c r="B28" s="42">
        <v>1635</v>
      </c>
      <c r="C28" s="49">
        <f>(Tarifario!D$10/'Costos produccion'!B28)</f>
        <v>0.46909658511722735</v>
      </c>
      <c r="D28" s="49">
        <f>(VLOOKUP(A28,Tabla1[[Descripción]:[Costo etiqueta]],7,FALSE)*B28)+0.7*B28</f>
        <v>1630.1604</v>
      </c>
      <c r="E28" s="49">
        <f t="shared" si="0"/>
        <v>81.508020000000002</v>
      </c>
      <c r="F28" s="49">
        <f>'Equipo y maquinaria'!H$1/(B28*6*24.5)</f>
        <v>9.5258898666500239E-2</v>
      </c>
      <c r="G28" s="49">
        <f t="shared" si="1"/>
        <v>2478.7365955653336</v>
      </c>
      <c r="H28" s="49">
        <f t="shared" si="2"/>
        <v>1.5160468474405711</v>
      </c>
    </row>
    <row r="29" spans="1:8" x14ac:dyDescent="0.25">
      <c r="A29" s="40" t="s">
        <v>80</v>
      </c>
      <c r="B29" s="42">
        <v>1833</v>
      </c>
      <c r="C29" s="49">
        <f>(Tarifario!D$10/'Costos produccion'!B29)</f>
        <v>0.4184249408983452</v>
      </c>
      <c r="D29" s="49">
        <f>(VLOOKUP(A29,Tabla1[[Descripción]:[Costo etiqueta]],7,FALSE)*B29)+0.7*B29</f>
        <v>1963.6929</v>
      </c>
      <c r="E29" s="49">
        <f t="shared" si="0"/>
        <v>98.184645000000003</v>
      </c>
      <c r="F29" s="49">
        <f>'Equipo y maquinaria'!H$1/(B29*6*24.5)</f>
        <v>8.4969066731984663E-2</v>
      </c>
      <c r="G29" s="49">
        <f t="shared" si="1"/>
        <v>2828.9354307333983</v>
      </c>
      <c r="H29" s="49">
        <f t="shared" si="2"/>
        <v>1.5433362960902337</v>
      </c>
    </row>
    <row r="30" spans="1:8" x14ac:dyDescent="0.25">
      <c r="A30" s="40" t="s">
        <v>86</v>
      </c>
      <c r="B30" s="41">
        <v>167</v>
      </c>
      <c r="C30" s="49">
        <f>(Tarifario!D$10/'Costos produccion'!B30)</f>
        <v>4.5926521956087827</v>
      </c>
      <c r="D30" s="49">
        <f>(VLOOKUP(A30,Tabla1[[Descripción]:[Costo etiqueta]],7,FALSE)*B30)+0.7*B30</f>
        <v>154.10425999999998</v>
      </c>
      <c r="E30" s="49">
        <f t="shared" si="0"/>
        <v>7.7052129999999996</v>
      </c>
      <c r="F30" s="49">
        <f>'Equipo y maquinaria'!H$1/(B30*6*24.5)</f>
        <v>0.93262454682471796</v>
      </c>
      <c r="G30" s="49">
        <f t="shared" si="1"/>
        <v>929.71501421349137</v>
      </c>
      <c r="H30" s="49">
        <f t="shared" si="2"/>
        <v>5.5671557737334814</v>
      </c>
    </row>
    <row r="31" spans="1:8" x14ac:dyDescent="0.25">
      <c r="A31" s="40" t="s">
        <v>84</v>
      </c>
      <c r="B31" s="41">
        <v>400</v>
      </c>
      <c r="C31" s="49">
        <f>(Tarifario!D$10/'Costos produccion'!B31)</f>
        <v>1.9174322916666668</v>
      </c>
      <c r="D31" s="49">
        <f>(VLOOKUP(A31,Tabla1[[Descripción]:[Costo etiqueta]],7,FALSE)*B31)+0.7*B31</f>
        <v>844.37599999999998</v>
      </c>
      <c r="E31" s="49">
        <f t="shared" si="0"/>
        <v>42.218800000000002</v>
      </c>
      <c r="F31" s="49">
        <f>'Equipo y maquinaria'!H$1/(B31*6*24.5)</f>
        <v>0.38937074829931972</v>
      </c>
      <c r="G31" s="49">
        <f t="shared" si="1"/>
        <v>1653.9570874149663</v>
      </c>
      <c r="H31" s="49">
        <f t="shared" si="2"/>
        <v>4.134892718537416</v>
      </c>
    </row>
    <row r="32" spans="1:8" x14ac:dyDescent="0.25">
      <c r="A32" s="40" t="s">
        <v>68</v>
      </c>
      <c r="B32" s="41">
        <v>640</v>
      </c>
      <c r="C32" s="49">
        <f>(Tarifario!D$10/'Costos produccion'!B32)</f>
        <v>1.1983951822916667</v>
      </c>
      <c r="D32" s="49">
        <f>(VLOOKUP(A32,Tabla1[[Descripción]:[Costo etiqueta]],7,FALSE)*B32)+0.7*B32</f>
        <v>1065.8431999999998</v>
      </c>
      <c r="E32" s="49">
        <f t="shared" si="0"/>
        <v>53.292159999999996</v>
      </c>
      <c r="F32" s="49">
        <f>'Equipo y maquinaria'!H$1/(B32*6*24.5)</f>
        <v>0.24335671768707484</v>
      </c>
      <c r="G32" s="49">
        <f t="shared" si="1"/>
        <v>1886.3516333843534</v>
      </c>
      <c r="H32" s="49">
        <f t="shared" si="2"/>
        <v>2.9474244271630523</v>
      </c>
    </row>
    <row r="33" spans="1:8" x14ac:dyDescent="0.25">
      <c r="A33" s="40" t="s">
        <v>85</v>
      </c>
      <c r="B33" s="41">
        <v>296</v>
      </c>
      <c r="C33" s="49">
        <f>(Tarifario!D$10/'Costos produccion'!B33)</f>
        <v>2.5911247184684685</v>
      </c>
      <c r="D33" s="49">
        <f>(VLOOKUP(A33,Tabla1[[Descripción]:[Costo etiqueta]],7,FALSE)*B33)+0.7*B33</f>
        <v>229.18096</v>
      </c>
      <c r="E33" s="49">
        <f t="shared" si="0"/>
        <v>11.459048000000001</v>
      </c>
      <c r="F33" s="49">
        <f>'Equipo y maquinaria'!H$1/(B33*6*24.5)</f>
        <v>0.52617668689097263</v>
      </c>
      <c r="G33" s="49">
        <f t="shared" si="1"/>
        <v>1008.1391013535577</v>
      </c>
      <c r="H33" s="49">
        <f t="shared" si="2"/>
        <v>3.4058753424106682</v>
      </c>
    </row>
    <row r="34" spans="1:8" x14ac:dyDescent="0.25">
      <c r="A34" s="40" t="s">
        <v>91</v>
      </c>
      <c r="B34" s="41">
        <v>905</v>
      </c>
      <c r="C34" s="49">
        <f>(Tarifario!D$10/'Costos produccion'!B34)</f>
        <v>0.84748388581952128</v>
      </c>
      <c r="D34" s="49">
        <f>(VLOOKUP(A34,Tabla1[[Descripción]:[Costo etiqueta]],7,FALSE)*B34)+0.7*B34</f>
        <v>1171.1424000000002</v>
      </c>
      <c r="E34" s="49">
        <f t="shared" si="0"/>
        <v>58.557120000000012</v>
      </c>
      <c r="F34" s="49">
        <f>'Equipo y maquinaria'!H$1/(B34*6*24.5)</f>
        <v>0.17209756830909159</v>
      </c>
      <c r="G34" s="49">
        <f t="shared" si="1"/>
        <v>1996.8445342349758</v>
      </c>
      <c r="H34" s="49">
        <f t="shared" si="2"/>
        <v>2.2064580488784262</v>
      </c>
    </row>
    <row r="35" spans="1:8" x14ac:dyDescent="0.25">
      <c r="A35" s="40" t="s">
        <v>92</v>
      </c>
      <c r="B35" s="73">
        <v>140</v>
      </c>
      <c r="C35" s="49">
        <f>(Tarifario!D$10/'Costos produccion'!B35)</f>
        <v>5.478377976190477</v>
      </c>
      <c r="D35" s="49">
        <f>(VLOOKUP(A35,Tabla1[[Descripción]:[Costo etiqueta]],7,FALSE)*B35)+0.7*B35</f>
        <v>108.3964</v>
      </c>
      <c r="E35" s="49">
        <f t="shared" si="0"/>
        <v>5.4198200000000005</v>
      </c>
      <c r="F35" s="49">
        <f>'Equipo y maquinaria'!H$1/(B35*6*24.5)</f>
        <v>1.1124878522837707</v>
      </c>
      <c r="G35" s="49">
        <f t="shared" si="1"/>
        <v>881.90162451895037</v>
      </c>
      <c r="H35" s="49">
        <f t="shared" si="2"/>
        <v>6.2992973179925027</v>
      </c>
    </row>
    <row r="36" spans="1:8" x14ac:dyDescent="0.25">
      <c r="A36" s="40" t="s">
        <v>93</v>
      </c>
      <c r="B36" s="41">
        <v>301</v>
      </c>
      <c r="C36" s="49">
        <f>(Tarifario!D$10/'Costos produccion'!B36)</f>
        <v>2.5480827796234773</v>
      </c>
      <c r="D36" s="49">
        <f>(VLOOKUP(A36,Tabla1[[Descripción]:[Costo etiqueta]],7,FALSE)*B36)+0.7*B36</f>
        <v>233.05225999999999</v>
      </c>
      <c r="E36" s="49">
        <f t="shared" si="0"/>
        <v>11.652613000000001</v>
      </c>
      <c r="F36" s="49">
        <f>'Equipo y maquinaria'!H$1/(B36*6*24.5)</f>
        <v>0.51743621036454446</v>
      </c>
      <c r="G36" s="49">
        <f t="shared" si="1"/>
        <v>1012.1952258770312</v>
      </c>
      <c r="H36" s="49">
        <f t="shared" si="2"/>
        <v>3.3627748368007682</v>
      </c>
    </row>
    <row r="37" spans="1:8" x14ac:dyDescent="0.25">
      <c r="A37" s="40" t="s">
        <v>94</v>
      </c>
      <c r="B37" s="73">
        <v>190</v>
      </c>
      <c r="C37" s="49">
        <f>(Tarifario!D$10/'Costos produccion'!B37)</f>
        <v>4.0366995614035091</v>
      </c>
      <c r="D37" s="49">
        <f>(VLOOKUP(A37,Tabla1[[Descripción]:[Costo etiqueta]],7,FALSE)*B37)+0.7*B37</f>
        <v>147.10939999999999</v>
      </c>
      <c r="E37" s="49">
        <f t="shared" si="0"/>
        <v>7.3554700000000004</v>
      </c>
      <c r="F37" s="49">
        <f>'Equipo y maquinaria'!H$1/(B37*6*24.5)</f>
        <v>0.81972789115646261</v>
      </c>
      <c r="G37" s="49">
        <f t="shared" si="1"/>
        <v>922.25751455782313</v>
      </c>
      <c r="H37" s="49">
        <f t="shared" si="2"/>
        <v>4.8539869187253846</v>
      </c>
    </row>
    <row r="38" spans="1:8" x14ac:dyDescent="0.25">
      <c r="A38" s="40" t="s">
        <v>95</v>
      </c>
      <c r="B38" s="41">
        <v>183</v>
      </c>
      <c r="C38" s="49">
        <f>(Tarifario!D$10/'Costos produccion'!B38)</f>
        <v>4.1911088342440808</v>
      </c>
      <c r="D38" s="49">
        <f>(VLOOKUP(A38,Tabla1[[Descripción]:[Costo etiqueta]],7,FALSE)*B38)+0.7*B38</f>
        <v>141.68958000000001</v>
      </c>
      <c r="E38" s="49">
        <f t="shared" si="0"/>
        <v>7.0844790000000009</v>
      </c>
      <c r="F38" s="49">
        <f>'Equipo y maquinaria'!H$1/(B38*6*24.5)</f>
        <v>0.85108360284004314</v>
      </c>
      <c r="G38" s="49">
        <f t="shared" si="1"/>
        <v>916.59805926950685</v>
      </c>
      <c r="H38" s="49">
        <f t="shared" si="2"/>
        <v>5.0087325643142453</v>
      </c>
    </row>
    <row r="39" spans="1:8" x14ac:dyDescent="0.25">
      <c r="A39" s="40" t="s">
        <v>96</v>
      </c>
      <c r="B39" s="73">
        <v>140</v>
      </c>
      <c r="C39" s="49">
        <f>(Tarifario!D$10/'Costos produccion'!B39)</f>
        <v>5.478377976190477</v>
      </c>
      <c r="D39" s="49">
        <f>(VLOOKUP(A39,Tabla1[[Descripción]:[Costo etiqueta]],7,FALSE)*B39)+0.7*B39</f>
        <v>108.3964</v>
      </c>
      <c r="E39" s="49">
        <f t="shared" si="0"/>
        <v>5.4198200000000005</v>
      </c>
      <c r="F39" s="49">
        <f>'Equipo y maquinaria'!H$1/(B39*6*24.5)</f>
        <v>1.1124878522837707</v>
      </c>
      <c r="G39" s="49">
        <f t="shared" si="1"/>
        <v>881.90162451895037</v>
      </c>
      <c r="H39" s="49">
        <f t="shared" si="2"/>
        <v>6.2992973179925027</v>
      </c>
    </row>
    <row r="40" spans="1:8" x14ac:dyDescent="0.25">
      <c r="A40" s="40" t="s">
        <v>97</v>
      </c>
      <c r="B40" s="41">
        <v>50</v>
      </c>
      <c r="C40" s="49">
        <f>(Tarifario!D$10/'Costos produccion'!B40)</f>
        <v>15.339458333333335</v>
      </c>
      <c r="D40" s="49">
        <f>(VLOOKUP(A40,Tabla1[[Descripción]:[Costo etiqueta]],7,FALSE)*B40)+0.7*B40</f>
        <v>38.713000000000001</v>
      </c>
      <c r="E40" s="49">
        <f t="shared" si="0"/>
        <v>1.9356500000000001</v>
      </c>
      <c r="F40" s="49">
        <f>'Equipo y maquinaria'!H$1/(B40*6*24.5)</f>
        <v>3.1149659863945578</v>
      </c>
      <c r="G40" s="49">
        <f t="shared" si="1"/>
        <v>810.7365326530612</v>
      </c>
      <c r="H40" s="49">
        <f t="shared" si="2"/>
        <v>16.214730653061224</v>
      </c>
    </row>
    <row r="41" spans="1:8" x14ac:dyDescent="0.25">
      <c r="A41" s="40" t="s">
        <v>98</v>
      </c>
      <c r="B41" s="41">
        <v>224</v>
      </c>
      <c r="C41" s="49">
        <f>(Tarifario!D$10/'Costos produccion'!B41)</f>
        <v>3.423986235119048</v>
      </c>
      <c r="D41" s="49">
        <f>(VLOOKUP(A41,Tabla1[[Descripción]:[Costo etiqueta]],7,FALSE)*B41)+0.7*B41</f>
        <v>173.43423999999999</v>
      </c>
      <c r="E41" s="49">
        <f t="shared" si="0"/>
        <v>8.6717119999999994</v>
      </c>
      <c r="F41" s="49">
        <f>'Equipo y maquinaria'!H$1/(B41*6*24.5)</f>
        <v>0.69530490767735664</v>
      </c>
      <c r="G41" s="49">
        <f t="shared" si="1"/>
        <v>949.77417357434399</v>
      </c>
      <c r="H41" s="49">
        <f t="shared" si="2"/>
        <v>4.2400632748854639</v>
      </c>
    </row>
    <row r="42" spans="1:8" x14ac:dyDescent="0.25">
      <c r="A42" s="40" t="s">
        <v>99</v>
      </c>
      <c r="B42" s="41">
        <v>297</v>
      </c>
      <c r="C42" s="49">
        <f>(Tarifario!D$10/'Costos produccion'!B42)</f>
        <v>2.5824003928170596</v>
      </c>
      <c r="D42" s="49">
        <f>(VLOOKUP(A42,Tabla1[[Descripción]:[Costo etiqueta]],7,FALSE)*B42)+0.7*B42</f>
        <v>229.95521999999997</v>
      </c>
      <c r="E42" s="49">
        <f t="shared" si="0"/>
        <v>11.497760999999999</v>
      </c>
      <c r="F42" s="49">
        <f>'Equipo y maquinaria'!H$1/(B42*6*24.5)</f>
        <v>0.52440504821457201</v>
      </c>
      <c r="G42" s="49">
        <f t="shared" si="1"/>
        <v>1008.9503027148812</v>
      </c>
      <c r="H42" s="49">
        <f t="shared" si="2"/>
        <v>3.3971390663800713</v>
      </c>
    </row>
  </sheetData>
  <mergeCells count="2">
    <mergeCell ref="A2:J2"/>
    <mergeCell ref="K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Catalogos</vt:lpstr>
      <vt:lpstr>Tarifario</vt:lpstr>
      <vt:lpstr>Equipo y maquinaria</vt:lpstr>
      <vt:lpstr>Matriz</vt:lpstr>
      <vt:lpstr>Costos produccion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GLOBALPRO</dc:creator>
  <cp:lastModifiedBy>GLOBALPRO</cp:lastModifiedBy>
  <dcterms:created xsi:type="dcterms:W3CDTF">2026-03-18T05:22:48Z</dcterms:created>
  <dcterms:modified xsi:type="dcterms:W3CDTF">2026-04-08T04:34:13Z</dcterms:modified>
</cp:coreProperties>
</file>